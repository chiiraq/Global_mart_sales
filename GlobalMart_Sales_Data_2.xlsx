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23C3B9CE-0B60-4A67-8331-2927CD1942EB}" xr6:coauthVersionLast="47" xr6:coauthVersionMax="47" xr10:uidLastSave="{00000000-0000-0000-0000-000000000000}"/>
  <bookViews>
    <workbookView xWindow="0" yWindow="360" windowWidth="29020" windowHeight="17500" activeTab="2" xr2:uid="{00000000-000D-0000-FFFF-FFFF00000000}"/>
  </bookViews>
  <sheets>
    <sheet name="Sheet3" sheetId="4" r:id="rId1"/>
    <sheet name="Sheet5" sheetId="6" r:id="rId2"/>
    <sheet name="Dashboard" sheetId="7" r:id="rId3"/>
    <sheet name="Sheet2" sheetId="14" r:id="rId4"/>
    <sheet name="GlobalMart_Sales_Data" sheetId="1" r:id="rId5"/>
    <sheet name="Sheet1" sheetId="2" r:id="rId6"/>
  </sheets>
  <definedNames>
    <definedName name="_xlnm._FilterDatabase" localSheetId="4" hidden="1">GlobalMart_Sales_Data!$M$1:$M$1014</definedName>
    <definedName name="Slicer_Category">#N/A</definedName>
    <definedName name="Slicer_Sub_Category">#N/A</definedName>
    <definedName name="Slicer_YEAR">#N/A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8" i="1" l="1"/>
  <c r="P1013" i="1"/>
  <c r="P1014" i="1"/>
  <c r="W1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2" i="1"/>
  <c r="E3" i="1"/>
  <c r="W11" i="1"/>
  <c r="W17" i="1"/>
  <c r="W16" i="1"/>
  <c r="W13" i="1"/>
  <c r="W12" i="1"/>
  <c r="W7"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2" i="1"/>
  <c r="B1014" i="1"/>
  <c r="B1013" i="1"/>
  <c r="J1013" i="1" a="1"/>
  <c r="J1013" i="1" s="1"/>
  <c r="H1013" i="1" a="1"/>
  <c r="H1013" i="1" s="1"/>
  <c r="I1013" i="1" a="1"/>
  <c r="I1013" i="1" s="1"/>
  <c r="A1013" i="1" a="1"/>
  <c r="A1013" i="1" s="1"/>
  <c r="F2" i="1" a="1"/>
  <c r="F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2"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E1011"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Q3" i="1"/>
  <c r="Q1006" i="1"/>
  <c r="Q1007" i="1"/>
  <c r="Q1008" i="1"/>
  <c r="Q1009" i="1"/>
  <c r="Q1010" i="1"/>
  <c r="Q1011"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 i="1"/>
  <c r="W4" i="1" l="1"/>
  <c r="W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<sst xmlns="http://schemas.openxmlformats.org/spreadsheetml/2006/main" count="6224" uniqueCount="2026">
  <si>
    <t>Order ID</t>
  </si>
  <si>
    <t>Order Date</t>
  </si>
  <si>
    <t>Ship Date</t>
  </si>
  <si>
    <t>Region</t>
  </si>
  <si>
    <t>State</t>
  </si>
  <si>
    <t>Category</t>
  </si>
  <si>
    <t>Sub-Category</t>
  </si>
  <si>
    <t>Product Name</t>
  </si>
  <si>
    <t>Sales</t>
  </si>
  <si>
    <t>Quantity</t>
  </si>
  <si>
    <t>Discount</t>
  </si>
  <si>
    <t>Profit</t>
  </si>
  <si>
    <t>f35d7567-8740-4f17-9149-781548ea75ea</t>
  </si>
  <si>
    <t>New York</t>
  </si>
  <si>
    <t>Furniture</t>
  </si>
  <si>
    <t>Tables</t>
  </si>
  <si>
    <t>Tables manager</t>
  </si>
  <si>
    <t>6723104f-38a6-4359-9f3d-a1acf741b69a</t>
  </si>
  <si>
    <t>Illinois</t>
  </si>
  <si>
    <t>Office Supplies</t>
  </si>
  <si>
    <t>Paper</t>
  </si>
  <si>
    <t>Paper small</t>
  </si>
  <si>
    <t>814d782d-ff13-412a-8f7c-56d92272ed77</t>
  </si>
  <si>
    <t>Central</t>
  </si>
  <si>
    <t>Florida</t>
  </si>
  <si>
    <t>Technology</t>
  </si>
  <si>
    <t>Accessories</t>
  </si>
  <si>
    <t>Accessories soldier</t>
  </si>
  <si>
    <t>5228c562-fa72-408c-8041-cc6b7c03032d</t>
  </si>
  <si>
    <t>California</t>
  </si>
  <si>
    <t>Bookcases</t>
  </si>
  <si>
    <t>Bookcases factor</t>
  </si>
  <si>
    <t>a898b5a1-d458-498a-b30c-731691ed6f39</t>
  </si>
  <si>
    <t>Accessories music</t>
  </si>
  <si>
    <t>e7726c9a-26b2-4d91-a5f6-21551fc57f82</t>
  </si>
  <si>
    <t>Pens</t>
  </si>
  <si>
    <t>Pens popular</t>
  </si>
  <si>
    <t>9dce4b16-d7de-48d9-b858-c06ce660cac1</t>
  </si>
  <si>
    <t>Pens will</t>
  </si>
  <si>
    <t>cd3543a1-218c-412f-bbed-c966974bcad7</t>
  </si>
  <si>
    <t>Pens blue</t>
  </si>
  <si>
    <t>67a463ea-8017-4fc1-b936-2f394ef5bb5c</t>
  </si>
  <si>
    <t>South</t>
  </si>
  <si>
    <t>Phones</t>
  </si>
  <si>
    <t>Phones sea</t>
  </si>
  <si>
    <t>00ce44b1-48ae-46c5-9d30-ebf3554390f9</t>
  </si>
  <si>
    <t>Pennsylvania</t>
  </si>
  <si>
    <t>Laptops</t>
  </si>
  <si>
    <t>Laptops every</t>
  </si>
  <si>
    <t>ae941f3e-6f5d-4686-91e5-acb0983ac705</t>
  </si>
  <si>
    <t>Texas</t>
  </si>
  <si>
    <t>Phones natural</t>
  </si>
  <si>
    <t>5959a7b8-37c6-4bef-8c7e-742b8f04272c</t>
  </si>
  <si>
    <t>Ohio</t>
  </si>
  <si>
    <t>Chairs</t>
  </si>
  <si>
    <t>Chairs according</t>
  </si>
  <si>
    <t>0fdd460f-ec19-4268-8b3f-66a45c0e4903</t>
  </si>
  <si>
    <t>Phones different</t>
  </si>
  <si>
    <t>232b8645-3a7d-4fca-bc7f-5223546a572b</t>
  </si>
  <si>
    <t>Michigan</t>
  </si>
  <si>
    <t>Paper keep</t>
  </si>
  <si>
    <t>5cb28f7b-35ed-4c12-8395-109cfc4b2555</t>
  </si>
  <si>
    <t>Accessories fear</t>
  </si>
  <si>
    <t>21279f90-55a2-4152-88c7-c0ed4d4c99a8</t>
  </si>
  <si>
    <t>Laptops which</t>
  </si>
  <si>
    <t>41163a8f-4670-40d5-b43d-842374155864</t>
  </si>
  <si>
    <t>Paper night</t>
  </si>
  <si>
    <t>074da968-2056-4083-82ff-f10f3547bd38</t>
  </si>
  <si>
    <t>Pens professor</t>
  </si>
  <si>
    <t>a45ea1e5-37ab-4b08-9d21-7d25f82c3819</t>
  </si>
  <si>
    <t>Chairs direction</t>
  </si>
  <si>
    <t>d1b428bc-6c3c-44ea-a42a-8e5603178dcc</t>
  </si>
  <si>
    <t>Phones least</t>
  </si>
  <si>
    <t>75ec0900-4e17-4667-9c07-fba7f70f97d2</t>
  </si>
  <si>
    <t>Phones rock</t>
  </si>
  <si>
    <t>a73d7f48-3459-46e8-8eba-e9861f60f8f1</t>
  </si>
  <si>
    <t>Pens imagine</t>
  </si>
  <si>
    <t>c8218af0-c27d-4581-b5c1-d7246f4e7b53</t>
  </si>
  <si>
    <t>Pens turn</t>
  </si>
  <si>
    <t>d4e39de9-fe42-41ff-8f42-ae63c91a77f0</t>
  </si>
  <si>
    <t>Tables resource</t>
  </si>
  <si>
    <t>2455f93f-91cc-47c5-9e55-1947a0897ee2</t>
  </si>
  <si>
    <t>Chairs stop</t>
  </si>
  <si>
    <t>4bd55de2-d129-4629-9641-1519e71ab2af</t>
  </si>
  <si>
    <t>Accessories yet</t>
  </si>
  <si>
    <t>64a4423b-824f-4d91-a754-f289e45d8935</t>
  </si>
  <si>
    <t>Accessories understand</t>
  </si>
  <si>
    <t>09ad2bd9-6866-41c7-849a-8938530f74b8</t>
  </si>
  <si>
    <t>Paper environment</t>
  </si>
  <si>
    <t>31a555c8-0d98-456b-ac41-2d9c5d96bfb7</t>
  </si>
  <si>
    <t>Paper should</t>
  </si>
  <si>
    <t>0ee8e31f-69d5-44ab-833d-bc06227461c8</t>
  </si>
  <si>
    <t>Binders</t>
  </si>
  <si>
    <t>Binders but</t>
  </si>
  <si>
    <t>f4be3266-1662-44c4-9294-155ced2145cf</t>
  </si>
  <si>
    <t>Chairs produce</t>
  </si>
  <si>
    <t>5a95385e-06ee-4f52-ae57-58d7b41b5abb</t>
  </si>
  <si>
    <t>Tables save</t>
  </si>
  <si>
    <t>251dd947-9158-4741-aaee-4e47221b505a</t>
  </si>
  <si>
    <t>Binders respond</t>
  </si>
  <si>
    <t>6fd4073e-9d05-43d3-9876-ad42ea244c90</t>
  </si>
  <si>
    <t>Binders product</t>
  </si>
  <si>
    <t>b5d7f9fb-26ed-4cd9-a9b3-fc2e1cf2c9b8</t>
  </si>
  <si>
    <t>Pens industry</t>
  </si>
  <si>
    <t>d6240275-158e-4255-8d98-886b22649d42</t>
  </si>
  <si>
    <t>Paper tax</t>
  </si>
  <si>
    <t>82af0a7d-44a7-47bb-9501-436b7ad0c3cd</t>
  </si>
  <si>
    <t>Phones figure</t>
  </si>
  <si>
    <t>d9390356-0e84-4f8f-bd1b-ff5cad5b3642</t>
  </si>
  <si>
    <t>Phones despite</t>
  </si>
  <si>
    <t>06aba371-2a4f-4cb9-aa93-7f830b47eee4</t>
  </si>
  <si>
    <t>Binders since</t>
  </si>
  <si>
    <t>09754919-77dc-4df0-bccd-038b3646d079</t>
  </si>
  <si>
    <t>Pens trade</t>
  </si>
  <si>
    <t>e3a3dcc7-e1cb-4037-a195-1b37fe25b811</t>
  </si>
  <si>
    <t>Bookcases read</t>
  </si>
  <si>
    <t>78a0c417-1cd9-4434-8bdd-032224218bd2</t>
  </si>
  <si>
    <t>Accessories about</t>
  </si>
  <si>
    <t>d69df0f7-e9ac-4fae-85f4-c1d50abe81b7</t>
  </si>
  <si>
    <t>Pens in</t>
  </si>
  <si>
    <t>34bb452b-74e2-4fe7-98a1-e6d2061815b5</t>
  </si>
  <si>
    <t>Pens song</t>
  </si>
  <si>
    <t>42e9ea49-c396-4998-8674-1e028f444f63</t>
  </si>
  <si>
    <t>Paper significant</t>
  </si>
  <si>
    <t>af81b9a4-1d1b-4dea-b0e6-4661d43826ae</t>
  </si>
  <si>
    <t>Binders people</t>
  </si>
  <si>
    <t>539db767-fc0b-41ad-9a10-66c4edc43205</t>
  </si>
  <si>
    <t>Pens strong</t>
  </si>
  <si>
    <t>fc3d0235-5dc5-4983-abb0-b357cbee16b5</t>
  </si>
  <si>
    <t>Laptops Congress</t>
  </si>
  <si>
    <t>95dc19af-9c11-41dd-8dc8-4a04d9fb44d1</t>
  </si>
  <si>
    <t>Pens many</t>
  </si>
  <si>
    <t>d114bd67-b6a2-44a0-85bd-c290d87d9264</t>
  </si>
  <si>
    <t>Paper affect</t>
  </si>
  <si>
    <t>a524c772-249c-46a7-bf4c-e989b2e3c114</t>
  </si>
  <si>
    <t>Pens four</t>
  </si>
  <si>
    <t>2d07b9bd-7466-4c3b-b2df-a37ca0282846</t>
  </si>
  <si>
    <t>Pens girl</t>
  </si>
  <si>
    <t>019057e7-6a55-4f0d-b34f-bfc367480748</t>
  </si>
  <si>
    <t>Tables society</t>
  </si>
  <si>
    <t>beedbf7d-c787-4f29-981e-fa1ca89940b3</t>
  </si>
  <si>
    <t>Phones leg</t>
  </si>
  <si>
    <t>12f7acf0-4548-4d7c-baf0-d42cb0c30116</t>
  </si>
  <si>
    <t>Phones first</t>
  </si>
  <si>
    <t>fc0314d6-3ec0-42b5-bf77-24c1f7e82112</t>
  </si>
  <si>
    <t>Laptops many</t>
  </si>
  <si>
    <t>bcf08845-e2f5-4932-97e7-bd808717653a</t>
  </si>
  <si>
    <t>Bookcases become</t>
  </si>
  <si>
    <t>0ec7aeed-cc20-4091-ad03-63573e3c5f08</t>
  </si>
  <si>
    <t>Tables amount</t>
  </si>
  <si>
    <t>1919414f-66da-4062-9b55-d7958ed8ba47</t>
  </si>
  <si>
    <t>Accessories approach</t>
  </si>
  <si>
    <t>ef8106db-5ac7-45a3-a7da-b0506f38c2b3</t>
  </si>
  <si>
    <t>Binders should</t>
  </si>
  <si>
    <t>c9dc06a7-0763-4694-b327-8faa84a4c91b</t>
  </si>
  <si>
    <t>Phones point</t>
  </si>
  <si>
    <t>b6fa8300-6e11-43bd-b871-58fef8c4554d</t>
  </si>
  <si>
    <t>Chairs form</t>
  </si>
  <si>
    <t>0ee872b9-28a7-43ff-b4ee-4d8ac7ee75cd</t>
  </si>
  <si>
    <t>Chairs economic</t>
  </si>
  <si>
    <t>93cf479b-2804-4fd5-9ff3-e6d377cf9d0f</t>
  </si>
  <si>
    <t>Pens great</t>
  </si>
  <si>
    <t>5115ed79-1d54-465b-a331-64c239be6bd5</t>
  </si>
  <si>
    <t>Bookcases soldier</t>
  </si>
  <si>
    <t>e637aed0-3c88-40c0-8bb9-6bb38c53fea9</t>
  </si>
  <si>
    <t>Phones call</t>
  </si>
  <si>
    <t>98341316-2579-4c6a-9838-31616eac2181</t>
  </si>
  <si>
    <t>Binders significant</t>
  </si>
  <si>
    <t>43319d2e-166f-4911-a150-49b1345c1cd4</t>
  </si>
  <si>
    <t>Pens thousand</t>
  </si>
  <si>
    <t>f645fcc2-d1bd-4cab-860b-d29478610c8f</t>
  </si>
  <si>
    <t>Accessories series</t>
  </si>
  <si>
    <t>db370ca6-8346-490f-b112-5f8a3dfe62af</t>
  </si>
  <si>
    <t>Tables interview</t>
  </si>
  <si>
    <t>e9332977-a82e-4003-b531-fde2cc08b694</t>
  </si>
  <si>
    <t>Phones life</t>
  </si>
  <si>
    <t>46f37037-cab4-4575-b3d5-29a4824c5040</t>
  </si>
  <si>
    <t>Bookcases hold</t>
  </si>
  <si>
    <t>53acbfe3-8183-46b2-9c0a-fa75cbfa550c</t>
  </si>
  <si>
    <t>Tables reduce</t>
  </si>
  <si>
    <t>ac08a905-668d-4c7a-93df-38b5bc3da9ab</t>
  </si>
  <si>
    <t>Bookcases from</t>
  </si>
  <si>
    <t>51e232e8-a74b-4470-9635-d8cfdad37084</t>
  </si>
  <si>
    <t>Phones step</t>
  </si>
  <si>
    <t>b7e28c64-f798-4a3a-a2cf-50e4621b5475</t>
  </si>
  <si>
    <t>Tables day</t>
  </si>
  <si>
    <t>5e45f382-efa6-4e9c-85f9-7d856545205a</t>
  </si>
  <si>
    <t>Accessories pull</t>
  </si>
  <si>
    <t>5be931f7-e93c-437c-8baa-c6a3c7d73eb5</t>
  </si>
  <si>
    <t>Tables woman</t>
  </si>
  <si>
    <t>a42ce613-a663-49c9-b453-1d337c7329ca</t>
  </si>
  <si>
    <t>Pens son</t>
  </si>
  <si>
    <t>b7ff190b-1839-433f-af20-e1c992d5f3d7</t>
  </si>
  <si>
    <t>Binders girl</t>
  </si>
  <si>
    <t>fc8628a3-aebc-4f29-92b3-8d0eb403dc3f</t>
  </si>
  <si>
    <t>Phones her</t>
  </si>
  <si>
    <t>471d681b-c253-43b0-9993-d9cd4fb113b4</t>
  </si>
  <si>
    <t>Tables his</t>
  </si>
  <si>
    <t>09d36b77-1fcf-48e9-a5b1-4e05fc8686e0</t>
  </si>
  <si>
    <t>Laptops say</t>
  </si>
  <si>
    <t>1093b3cd-c296-41b4-991d-ddcab3c8279b</t>
  </si>
  <si>
    <t>Laptops statement</t>
  </si>
  <si>
    <t>23751c1c-1036-474f-8432-73c0257bc2da</t>
  </si>
  <si>
    <t>Chairs second</t>
  </si>
  <si>
    <t>78bd9016-521a-4bed-9147-eefa62751d5e</t>
  </si>
  <si>
    <t>Chairs and</t>
  </si>
  <si>
    <t>c5f77c59-ddd7-4e04-b80e-a0047e1c160f</t>
  </si>
  <si>
    <t>Tables prove</t>
  </si>
  <si>
    <t>300d6df0-3c5b-48a9-8937-e1412f04ebf1</t>
  </si>
  <si>
    <t>Tables hard</t>
  </si>
  <si>
    <t>1482c0d4-be70-40a6-94b8-4e9bf0ab5a0e</t>
  </si>
  <si>
    <t>Paper shake</t>
  </si>
  <si>
    <t>ca2a79c7-f860-4664-b861-03ad51a04a52</t>
  </si>
  <si>
    <t>Accessories social</t>
  </si>
  <si>
    <t>4a30fea9-2e12-4965-b0a4-943026611c24</t>
  </si>
  <si>
    <t>a789b3c9-fd1d-4507-8487-4ef1177a9660</t>
  </si>
  <si>
    <t>Accessories require</t>
  </si>
  <si>
    <t>2932052c-e285-42f6-b0ab-d7fcedbd984c</t>
  </si>
  <si>
    <t>Chairs management</t>
  </si>
  <si>
    <t>7dfe613d-88ca-4c47-8393-63728d549aa9</t>
  </si>
  <si>
    <t>Bookcases success</t>
  </si>
  <si>
    <t>fd077da0-b79d-450f-9457-ac0050180104</t>
  </si>
  <si>
    <t>Paper other</t>
  </si>
  <si>
    <t>5862abd6-0f5f-4c97-8863-e4a9cfde1c3c</t>
  </si>
  <si>
    <t>Bookcases church</t>
  </si>
  <si>
    <t>a3cd3e2e-9708-4048-942a-0b2344c8eb6a</t>
  </si>
  <si>
    <t>Bookcases newspaper</t>
  </si>
  <si>
    <t>027a6d4e-72df-4074-9893-9058708d2460</t>
  </si>
  <si>
    <t>Binders realize</t>
  </si>
  <si>
    <t>b956bfde-f9a8-432e-9691-eeda18229728</t>
  </si>
  <si>
    <t>Accessories value</t>
  </si>
  <si>
    <t>90bb2a1e-450f-4857-be20-550107c814c3</t>
  </si>
  <si>
    <t>Phones responsibility</t>
  </si>
  <si>
    <t>4064d53c-7971-4e2f-a7a0-9dfb3edcd019</t>
  </si>
  <si>
    <t>Tables chance</t>
  </si>
  <si>
    <t>3f3dc203-3017-4054-8551-8b08ae15e581</t>
  </si>
  <si>
    <t>Accessories ready</t>
  </si>
  <si>
    <t>c3848075-e3ed-4399-bf80-e42f1161e7dc</t>
  </si>
  <si>
    <t>Paper guy</t>
  </si>
  <si>
    <t>e8a545b1-e263-45fe-9c27-812b8a6f1077</t>
  </si>
  <si>
    <t>Pens factor</t>
  </si>
  <si>
    <t>3b0612c8-349f-4698-a687-28a9fd6c9087</t>
  </si>
  <si>
    <t>Binders cause</t>
  </si>
  <si>
    <t>d72e79f8-3b6b-4e8a-b020-dedc20ff39fa</t>
  </si>
  <si>
    <t>Chairs firm</t>
  </si>
  <si>
    <t>345254a6-5ca4-4b29-bdd5-593273ff9078</t>
  </si>
  <si>
    <t>Paper along</t>
  </si>
  <si>
    <t>7889f3fb-3342-4eb9-ab2f-69fe665d3df6</t>
  </si>
  <si>
    <t>Tables their</t>
  </si>
  <si>
    <t>5320f1e1-7421-4f4f-a0e3-ccd9509e11dc</t>
  </si>
  <si>
    <t>Bookcases great</t>
  </si>
  <si>
    <t>0f9d780b-7e2a-44a1-9dbf-b73ee8de2fb2</t>
  </si>
  <si>
    <t>Pens full</t>
  </si>
  <si>
    <t>71f7cee3-1171-4262-b952-50628bbf05da</t>
  </si>
  <si>
    <t>Pens response</t>
  </si>
  <si>
    <t>5685a04b-3e0c-4c19-be46-5c5c6a1cc342</t>
  </si>
  <si>
    <t>Binders sense</t>
  </si>
  <si>
    <t>9a80ca83-22bd-4e1f-a3d8-4a98926ddf22</t>
  </si>
  <si>
    <t>Binders too</t>
  </si>
  <si>
    <t>645ff5d0-4688-46ac-b1f0-19d11a6186df</t>
  </si>
  <si>
    <t>Accessories half</t>
  </si>
  <si>
    <t>708bd452-2af4-40f1-ad19-13efa7868c3d</t>
  </si>
  <si>
    <t>Pens power</t>
  </si>
  <si>
    <t>c1076bfc-9c74-4d6f-b3c0-e4e50aed517e</t>
  </si>
  <si>
    <t>Bookcases these</t>
  </si>
  <si>
    <t>588f7065-bc8e-4987-ba8c-aaf4ab875ee3</t>
  </si>
  <si>
    <t>Binders land</t>
  </si>
  <si>
    <t>5060b778-631f-4f6a-bcbc-71a41c727302</t>
  </si>
  <si>
    <t>Phones thought</t>
  </si>
  <si>
    <t>ce79d624-0f61-4fe6-a5b0-c2833c870cdd</t>
  </si>
  <si>
    <t>Laptops single</t>
  </si>
  <si>
    <t>79b4551f-09f3-40f6-9b82-fd462560eba4</t>
  </si>
  <si>
    <t>Binders pattern</t>
  </si>
  <si>
    <t>2b14a7f1-ab89-4902-bcae-39d0ab6344b4</t>
  </si>
  <si>
    <t>Tables production</t>
  </si>
  <si>
    <t>8f12f1e4-b510-42c2-9c7d-6b835b987f2c</t>
  </si>
  <si>
    <t>Chairs rule</t>
  </si>
  <si>
    <t>97681d02-c59b-4aa4-9a2a-4d1e5b6ca218</t>
  </si>
  <si>
    <t>Pens nation</t>
  </si>
  <si>
    <t>2c324da2-5865-46f2-905a-6fab9ada5a63</t>
  </si>
  <si>
    <t>Paper energy</t>
  </si>
  <si>
    <t>23c3a87d-1daa-4f5d-8ef4-aee0ca4c3772</t>
  </si>
  <si>
    <t>Paper give</t>
  </si>
  <si>
    <t>1e11579d-ce29-47e3-ae73-69eca90f2a72</t>
  </si>
  <si>
    <t>Tables expert</t>
  </si>
  <si>
    <t>9ed6477d-1b09-490d-954b-debe9bf2b878</t>
  </si>
  <si>
    <t>Tables yeah</t>
  </si>
  <si>
    <t>21f7d9e6-5f1d-4d70-86f5-8cc79ee7903b</t>
  </si>
  <si>
    <t>Pens few</t>
  </si>
  <si>
    <t>a8d0e480-ef69-4fd7-a4b7-6084e99e7375</t>
  </si>
  <si>
    <t>Paper yeah</t>
  </si>
  <si>
    <t>ee8263cd-0c08-4d03-a94e-67cefa617fcf</t>
  </si>
  <si>
    <t>d2d312c7-8b00-412c-b6e1-ee0f5713cd3e</t>
  </si>
  <si>
    <t>Paper several</t>
  </si>
  <si>
    <t>587baebe-cea8-4537-85d6-19629d5a1677</t>
  </si>
  <si>
    <t>Phones at</t>
  </si>
  <si>
    <t>d2ac3849-ece3-4c16-a154-0febde5a0f06</t>
  </si>
  <si>
    <t>Paper term</t>
  </si>
  <si>
    <t>31b27a55-eefe-4324-ace1-7ca72e6c31c7</t>
  </si>
  <si>
    <t>Accessories Democrat</t>
  </si>
  <si>
    <t>694b9258-7d98-4889-a2db-de650c50296f</t>
  </si>
  <si>
    <t>Binders last</t>
  </si>
  <si>
    <t>0a7409c7-6cf4-446f-974f-d5897e0d20a1</t>
  </si>
  <si>
    <t>Tables raise</t>
  </si>
  <si>
    <t>5aa68c07-345e-43d4-9929-e14fd28be956</t>
  </si>
  <si>
    <t>Chairs discover</t>
  </si>
  <si>
    <t>4402054e-2e55-40fc-b3fd-8224f5388686</t>
  </si>
  <si>
    <t>Bookcases public</t>
  </si>
  <si>
    <t>5d60f2c8-850c-4145-bc3d-c5a5664a3e14</t>
  </si>
  <si>
    <t>Laptops front</t>
  </si>
  <si>
    <t>06043131-5964-44e5-b350-a44837d5c0e1</t>
  </si>
  <si>
    <t>Accessories their</t>
  </si>
  <si>
    <t>4cc33b06-b6ad-4271-bfaa-7cd6bf3366ae</t>
  </si>
  <si>
    <t>Paper five</t>
  </si>
  <si>
    <t>ca525f98-6a96-4d41-b895-94034d68b9d9</t>
  </si>
  <si>
    <t>Bookcases sure</t>
  </si>
  <si>
    <t>b27031b0-b19b-47f7-a0da-07e2ccb5c1b0</t>
  </si>
  <si>
    <t>Bookcases size</t>
  </si>
  <si>
    <t>89854508-20c6-4ba3-a5ae-f7294cb78539</t>
  </si>
  <si>
    <t>Chairs hot</t>
  </si>
  <si>
    <t>f7a7f1e1-538e-4bf9-a776-251587c3f82e</t>
  </si>
  <si>
    <t>Binders young</t>
  </si>
  <si>
    <t>769d25f7-7c4a-424c-b64e-8c15ee36092f</t>
  </si>
  <si>
    <t>Pens first</t>
  </si>
  <si>
    <t>06896943-cb28-4f72-b813-2415707dbadc</t>
  </si>
  <si>
    <t>Accessories wonder</t>
  </si>
  <si>
    <t>a4080795-3aec-4f6c-9af7-3e99e21ad529</t>
  </si>
  <si>
    <t>Pens experience</t>
  </si>
  <si>
    <t>31c12299-5b84-4445-bdee-a6c00a23ea5e</t>
  </si>
  <si>
    <t>Paper project</t>
  </si>
  <si>
    <t>47ab275b-250c-4afd-ba1d-4ee76ed3be35</t>
  </si>
  <si>
    <t>Accessories difference</t>
  </si>
  <si>
    <t>e87913e9-d10a-43d3-8225-143d0bb1d8b2</t>
  </si>
  <si>
    <t>Paper street</t>
  </si>
  <si>
    <t>403c50c0-e079-4b9f-9e63-22b7208fc468</t>
  </si>
  <si>
    <t>Laptops herself</t>
  </si>
  <si>
    <t>707ce1af-6721-4033-861c-d49aee905bb9</t>
  </si>
  <si>
    <t>Pens morning</t>
  </si>
  <si>
    <t>a51d2ea9-a73c-4ff6-9e01-e1ea7ffec996</t>
  </si>
  <si>
    <t>Accessories next</t>
  </si>
  <si>
    <t>3f57d32c-28fd-47d4-8119-455cc42ca9d4</t>
  </si>
  <si>
    <t>Accessories politics</t>
  </si>
  <si>
    <t>cd5ab7d6-56ea-4278-80ff-4bd8e48cc97b</t>
  </si>
  <si>
    <t>Paper suggest</t>
  </si>
  <si>
    <t>6b9501f9-1c64-41fc-979b-02c0d6869bc4</t>
  </si>
  <si>
    <t>Accessories similar</t>
  </si>
  <si>
    <t>9a47b7f8-5893-49a3-b7de-f1ee59485ca8</t>
  </si>
  <si>
    <t>Phones conference</t>
  </si>
  <si>
    <t>e2255e2c-b760-49aa-9841-0e608818009b</t>
  </si>
  <si>
    <t>Phones stage</t>
  </si>
  <si>
    <t>92873457-8359-4a67-9fbf-e057e6035942</t>
  </si>
  <si>
    <t>Bookcases learn</t>
  </si>
  <si>
    <t>6c17edc3-8499-4e73-b1e3-83b554530fb4</t>
  </si>
  <si>
    <t>Accessories last</t>
  </si>
  <si>
    <t>9f5e8f7d-b623-4228-b5c4-107616a9dd5f</t>
  </si>
  <si>
    <t>Tables sense</t>
  </si>
  <si>
    <t>3b854875-b0c9-49d2-902d-f4eee259e3fd</t>
  </si>
  <si>
    <t>Binders threat</t>
  </si>
  <si>
    <t>5042aa31-e1fb-4995-9a25-266e5be80468</t>
  </si>
  <si>
    <t>Laptops place</t>
  </si>
  <si>
    <t>e27a17a3-296f-4dfb-a2c4-aad195aaed06</t>
  </si>
  <si>
    <t>Bookcases back</t>
  </si>
  <si>
    <t>69b12446-8b10-41b5-ab0c-d6f3e39dfdd9</t>
  </si>
  <si>
    <t>Chairs drug</t>
  </si>
  <si>
    <t>a0e07c89-7adb-42c3-9cc8-bf8042c6dfb3</t>
  </si>
  <si>
    <t>Chairs film</t>
  </si>
  <si>
    <t>5135e0ec-c02b-4913-9cfd-02f201f7de6c</t>
  </si>
  <si>
    <t>Binders early</t>
  </si>
  <si>
    <t>07551023-bfa5-471a-bc75-b7a1fa9746a1</t>
  </si>
  <si>
    <t>Binders effect</t>
  </si>
  <si>
    <t>9f36cea9-f7b5-4f6b-ab0a-fc1db6fa67fa</t>
  </si>
  <si>
    <t>Chairs reflect</t>
  </si>
  <si>
    <t>a9f52abd-c441-444b-92bd-b4f3ad44bf00</t>
  </si>
  <si>
    <t>Chairs right</t>
  </si>
  <si>
    <t>831a35c1-1518-43ef-95c8-950ace8f22eb</t>
  </si>
  <si>
    <t>Pens nature</t>
  </si>
  <si>
    <t>5323b2b3-3055-421e-a76b-ead06b162359</t>
  </si>
  <si>
    <t>Bookcases game</t>
  </si>
  <si>
    <t>f28cf5e5-b53c-467f-9297-450db9669cf8</t>
  </si>
  <si>
    <t>Bookcases important</t>
  </si>
  <si>
    <t>8eb885a5-a567-4dc6-93db-8e86a6c238f7</t>
  </si>
  <si>
    <t>Laptops improve</t>
  </si>
  <si>
    <t>3399fcf7-7897-4c94-9959-d9f95296b4b5</t>
  </si>
  <si>
    <t>Binders add</t>
  </si>
  <si>
    <t>4a509bf6-3b90-4b34-bd3f-68bda4eac0cb</t>
  </si>
  <si>
    <t>Paper president</t>
  </si>
  <si>
    <t>53294055-26dc-4148-a11f-5adf62fd27d3</t>
  </si>
  <si>
    <t>Pens per</t>
  </si>
  <si>
    <t>a811e883-c162-4bfa-8dff-5233d9b8b869</t>
  </si>
  <si>
    <t>Chairs eat</t>
  </si>
  <si>
    <t>e74e7452-9471-482d-8a24-6c11e653e462</t>
  </si>
  <si>
    <t>Chairs coach</t>
  </si>
  <si>
    <t>e82c56f4-b188-46c2-87ad-e4f25e2b2f59</t>
  </si>
  <si>
    <t>Pens blood</t>
  </si>
  <si>
    <t>3d24b173-90e3-4bdf-9d18-d7cb02d7a08d</t>
  </si>
  <si>
    <t>Pens would</t>
  </si>
  <si>
    <t>73db22ee-28ff-4f1b-aec7-b36484b59e0b</t>
  </si>
  <si>
    <t>Phones maintain</t>
  </si>
  <si>
    <t>55e8f06d-8f50-4e35-b6b8-6133d35eb567</t>
  </si>
  <si>
    <t>Tables task</t>
  </si>
  <si>
    <t>5c6c0b7b-d385-4090-b043-a106a60625bd</t>
  </si>
  <si>
    <t>ad018eb5-8dd4-409e-a822-cb105aa80d5b</t>
  </si>
  <si>
    <t>Pens night</t>
  </si>
  <si>
    <t>0615f0e4-8a7e-4c7a-a74f-581d54503faa</t>
  </si>
  <si>
    <t>Tables hundred</t>
  </si>
  <si>
    <t>817eceb4-d135-48af-a2b8-3833eff2efc1</t>
  </si>
  <si>
    <t>Binders interest</t>
  </si>
  <si>
    <t>b58663d8-2974-4183-b1d0-c8e97e39009e</t>
  </si>
  <si>
    <t>Binders wear</t>
  </si>
  <si>
    <t>1f3cd646-27bd-4aad-8449-c4576549ee2d</t>
  </si>
  <si>
    <t>Paper simply</t>
  </si>
  <si>
    <t>85d78561-cea2-4a62-8479-498fe92ca85e</t>
  </si>
  <si>
    <t>Tables wear</t>
  </si>
  <si>
    <t>587794fa-db3a-441c-a8ea-335d349ae273</t>
  </si>
  <si>
    <t>Tables question</t>
  </si>
  <si>
    <t>8276f246-9d41-486e-b11e-2a3149209d9b</t>
  </si>
  <si>
    <t>Bookcases chance</t>
  </si>
  <si>
    <t>988ae85e-6b95-403c-9e41-566710dcdc68</t>
  </si>
  <si>
    <t>Tables magazine</t>
  </si>
  <si>
    <t>603eb6c0-7817-470b-a7b9-8e878ea1beb4</t>
  </si>
  <si>
    <t>Binders health</t>
  </si>
  <si>
    <t>e3afc7d2-106a-4655-8546-7bda89e1b24a</t>
  </si>
  <si>
    <t>Bookcases candidate</t>
  </si>
  <si>
    <t>e59bf2b2-3f38-4d23-b2f1-c69af48e4b06</t>
  </si>
  <si>
    <t>Phones room</t>
  </si>
  <si>
    <t>30f53a8b-b995-44cf-8d81-4a31296fe8e0</t>
  </si>
  <si>
    <t>Tables boy</t>
  </si>
  <si>
    <t>bc09aa0a-c10c-4dbf-9bea-1d4467caad39</t>
  </si>
  <si>
    <t>Phones group</t>
  </si>
  <si>
    <t>40fe5170-1709-458d-97f5-a90dfea5aafe</t>
  </si>
  <si>
    <t>Pens floor</t>
  </si>
  <si>
    <t>807616ef-255a-4321-a0a8-53edc6dcec2a</t>
  </si>
  <si>
    <t>Bookcases will</t>
  </si>
  <si>
    <t>5ab2a381-6e8d-4e90-aaf3-b8eaa5fa76e9</t>
  </si>
  <si>
    <t>Accessories on</t>
  </si>
  <si>
    <t>0daff512-8adc-4545-84f5-afa57d0cb894</t>
  </si>
  <si>
    <t>Bookcases act</t>
  </si>
  <si>
    <t>aff30128-ad52-4790-9521-9f60b3e07e8d</t>
  </si>
  <si>
    <t>Accessories way</t>
  </si>
  <si>
    <t>fb814b5a-0c12-41de-a06d-881fda37f076</t>
  </si>
  <si>
    <t>Accessories key</t>
  </si>
  <si>
    <t>09b93504-fe7c-4311-b77d-fb784d36eb41</t>
  </si>
  <si>
    <t>Paper animal</t>
  </si>
  <si>
    <t>1f4d54a1-371d-4e2a-b496-4055ba2534f2</t>
  </si>
  <si>
    <t>Chairs situation</t>
  </si>
  <si>
    <t>31c5cfbb-653f-4fb3-b565-3d75e9ad0d07</t>
  </si>
  <si>
    <t>Chairs themselves</t>
  </si>
  <si>
    <t>11fb9f48-31de-4ca7-b5c6-b4552bcdaecc</t>
  </si>
  <si>
    <t>Binders it</t>
  </si>
  <si>
    <t>42e34404-43f0-451e-8c82-b8a24de997e5</t>
  </si>
  <si>
    <t>Paper drug</t>
  </si>
  <si>
    <t>cb92e2a6-eb43-4839-a616-276a70c0f8be</t>
  </si>
  <si>
    <t>Bookcases shoulder</t>
  </si>
  <si>
    <t>077fbf18-9e38-414c-912b-95abb9d6e74a</t>
  </si>
  <si>
    <t>Laptops each</t>
  </si>
  <si>
    <t>be9e3170-6b0d-4219-83a2-1b92b4276b47</t>
  </si>
  <si>
    <t>Paper newspaper</t>
  </si>
  <si>
    <t>7266f095-bf1f-4897-a4ae-f258151ed7e2</t>
  </si>
  <si>
    <t>Pens partner</t>
  </si>
  <si>
    <t>6e803f18-0c0b-4688-bda6-fd33cc478393</t>
  </si>
  <si>
    <t>Pens simply</t>
  </si>
  <si>
    <t>973d7479-49bf-492b-af0e-8c6d979fb613</t>
  </si>
  <si>
    <t>Laptops blue</t>
  </si>
  <si>
    <t>10eec3ba-7705-4535-adc5-fa283ecda534</t>
  </si>
  <si>
    <t>Pens stay</t>
  </si>
  <si>
    <t>9f87edc6-ca4f-4458-8abb-5cab4b3aa948</t>
  </si>
  <si>
    <t>Chairs class</t>
  </si>
  <si>
    <t>da50ea9f-7dd4-4f23-b1a9-69e9d9dbdc6b</t>
  </si>
  <si>
    <t>Laptops myself</t>
  </si>
  <si>
    <t>024a77cf-c2a7-492f-8249-613183121a9b</t>
  </si>
  <si>
    <t>Accessories parent</t>
  </si>
  <si>
    <t>b916a047-637f-4867-8a9c-3b55a16f213b</t>
  </si>
  <si>
    <t>Accessories officer</t>
  </si>
  <si>
    <t>cf51ba24-b8ed-4ea4-9ac1-f7999d4a4343</t>
  </si>
  <si>
    <t>Pens force</t>
  </si>
  <si>
    <t>45a3e1cc-4427-4446-a058-67c78527d5d0</t>
  </si>
  <si>
    <t>Chairs left</t>
  </si>
  <si>
    <t>f76c1a7e-87af-4556-8970-ac9c88a5fc8f</t>
  </si>
  <si>
    <t>Laptops true</t>
  </si>
  <si>
    <t>6c082132-5a54-4eae-80a3-9210367d34d1</t>
  </si>
  <si>
    <t>Phones boy</t>
  </si>
  <si>
    <t>e1ca824f-36f9-4774-b06e-2cb5b50f29c4</t>
  </si>
  <si>
    <t>Pens speak</t>
  </si>
  <si>
    <t>d90aeead-5196-4ccf-a3fd-6fb133ec049d</t>
  </si>
  <si>
    <t>Tables business</t>
  </si>
  <si>
    <t>58d77636-8454-4a88-afed-51adbb8523b8</t>
  </si>
  <si>
    <t>Pens single</t>
  </si>
  <si>
    <t>5ecd13fd-b9b7-4ebc-bda7-88effe703aa9</t>
  </si>
  <si>
    <t>Laptops poor</t>
  </si>
  <si>
    <t>eba023f0-182e-4f57-b734-8a4b63444aa7</t>
  </si>
  <si>
    <t>Binders deal</t>
  </si>
  <si>
    <t>88b47e9a-7c9d-40af-9a02-ccf4550f7127</t>
  </si>
  <si>
    <t>Bookcases oil</t>
  </si>
  <si>
    <t>5d39111f-eaef-4c42-8627-e7f3d078f088</t>
  </si>
  <si>
    <t>Laptops already</t>
  </si>
  <si>
    <t>01829074-9bec-494e-bb2c-ad312c5545fc</t>
  </si>
  <si>
    <t>Chairs travel</t>
  </si>
  <si>
    <t>0e27be59-70b0-450e-9d9e-6dd7845c9f34</t>
  </si>
  <si>
    <t>Tables past</t>
  </si>
  <si>
    <t>efc70f5f-0416-4b8c-be0d-20690a142106</t>
  </si>
  <si>
    <t>Paper station</t>
  </si>
  <si>
    <t>b6204a7b-b578-405f-8617-00eb3c382a5b</t>
  </si>
  <si>
    <t>Paper must</t>
  </si>
  <si>
    <t>2093d19f-91f4-4296-8dc7-0f309cdb95fd</t>
  </si>
  <si>
    <t>Paper evening</t>
  </si>
  <si>
    <t>92213cca-99d3-4e48-858a-166594fdceb5</t>
  </si>
  <si>
    <t>Tables political</t>
  </si>
  <si>
    <t>630a573b-2fc8-4443-a559-5c88d10c9b2f</t>
  </si>
  <si>
    <t>Paper degree</t>
  </si>
  <si>
    <t>15ac3997-9f4d-41ac-939d-25d950971e12</t>
  </si>
  <si>
    <t>Bookcases together</t>
  </si>
  <si>
    <t>a17addae-ad87-4d05-b6c8-4891bbde74e9</t>
  </si>
  <si>
    <t>Accessories back</t>
  </si>
  <si>
    <t>6e4bc9c9-3597-454a-b085-78fcf267ab39</t>
  </si>
  <si>
    <t>Paper pressure</t>
  </si>
  <si>
    <t>8bcae289-6a3d-4ec2-afc7-9f64784ac375</t>
  </si>
  <si>
    <t>Accessories goal</t>
  </si>
  <si>
    <t>6bd911e9-eca4-4fa9-9075-29ca783fe1af</t>
  </si>
  <si>
    <t>Laptops foreign</t>
  </si>
  <si>
    <t>c62e055c-b8d3-457d-af78-a3db18e43448</t>
  </si>
  <si>
    <t>Tables country</t>
  </si>
  <si>
    <t>0ab857af-f56f-4859-9fd8-77077492be42</t>
  </si>
  <si>
    <t>Laptops executive</t>
  </si>
  <si>
    <t>b2ec3d31-a3da-4d97-88e6-104f1acb28e1</t>
  </si>
  <si>
    <t>Binders drive</t>
  </si>
  <si>
    <t>c1952cdd-325f-44ef-b65d-a608e8701170</t>
  </si>
  <si>
    <t>Pens month</t>
  </si>
  <si>
    <t>ab1ff418-b44e-4a85-8655-553de9c4e533</t>
  </si>
  <si>
    <t>Binders mouth</t>
  </si>
  <si>
    <t>475123a7-07b8-4d10-ab65-794504dbaab0</t>
  </si>
  <si>
    <t>Binders long</t>
  </si>
  <si>
    <t>cb115682-f596-4834-84a2-3a72417ab94c</t>
  </si>
  <si>
    <t>Pens indeed</t>
  </si>
  <si>
    <t>d579872e-81c5-4d22-af02-a54b5931b22e</t>
  </si>
  <si>
    <t>Paper response</t>
  </si>
  <si>
    <t>14d31f0a-dbd5-424b-aedb-60562256e0c6</t>
  </si>
  <si>
    <t>6572f792-5a23-4ec1-b480-b0746b952bbd</t>
  </si>
  <si>
    <t>Bookcases strong</t>
  </si>
  <si>
    <t>312bb93e-44f3-48cd-a134-71471741754f</t>
  </si>
  <si>
    <t>Tables me</t>
  </si>
  <si>
    <t>69bf8aff-c674-45a8-ab7b-edc091caf221</t>
  </si>
  <si>
    <t>Paper kitchen</t>
  </si>
  <si>
    <t>0c10964e-acca-439e-aa9d-29ef393e5c21</t>
  </si>
  <si>
    <t>Binders church</t>
  </si>
  <si>
    <t>cbf0d0a7-2071-4a3a-8f2f-28c9ffd84e5e</t>
  </si>
  <si>
    <t>Pens actually</t>
  </si>
  <si>
    <t>e17db836-144b-4a5e-b291-7b6f9021ad08</t>
  </si>
  <si>
    <t>Accessories try</t>
  </si>
  <si>
    <t>e87698df-9b76-44ca-afe4-554753c868a4</t>
  </si>
  <si>
    <t>Laptops carry</t>
  </si>
  <si>
    <t>525fa097-2ad9-45fd-91db-d7f877d2a5eb</t>
  </si>
  <si>
    <t>Laptops become</t>
  </si>
  <si>
    <t>f7798866-bfe9-4d36-abff-c3436a15bbda</t>
  </si>
  <si>
    <t>Pens market</t>
  </si>
  <si>
    <t>825bde6a-c45a-41da-9d76-22dbee57b8b7</t>
  </si>
  <si>
    <t>Binders rise</t>
  </si>
  <si>
    <t>2515621f-108b-411b-801b-8d7f26024fd7</t>
  </si>
  <si>
    <t>Binders record</t>
  </si>
  <si>
    <t>05b6db2c-7684-47cf-afe7-077b598a2f57</t>
  </si>
  <si>
    <t>Phones him</t>
  </si>
  <si>
    <t>ee313272-817b-4952-bc61-5d1252844608</t>
  </si>
  <si>
    <t>Chairs base</t>
  </si>
  <si>
    <t>5db2beac-3ae5-4abe-a14f-3068cecb8abc</t>
  </si>
  <si>
    <t>Pens tough</t>
  </si>
  <si>
    <t>21eaf71a-4e10-4c45-9969-7941fa15621e</t>
  </si>
  <si>
    <t>Accessories pressure</t>
  </si>
  <si>
    <t>f83920d0-baab-4858-9a27-d0f28bb12933</t>
  </si>
  <si>
    <t>Phones material</t>
  </si>
  <si>
    <t>67a7f339-9736-4c04-a1b1-acec8a97f470</t>
  </si>
  <si>
    <t>Paper alone</t>
  </si>
  <si>
    <t>3329bf8c-4f78-41dd-9a38-2b3c7e72915a</t>
  </si>
  <si>
    <t>Pens ago</t>
  </si>
  <si>
    <t>bad6ad77-46c1-4eb3-aa00-a23554c4d0ff</t>
  </si>
  <si>
    <t>Pens call</t>
  </si>
  <si>
    <t>d08b0888-19ee-4b5a-84d1-22b78e7369eb</t>
  </si>
  <si>
    <t>Bookcases affect</t>
  </si>
  <si>
    <t>9357b2df-cd4a-4906-934b-4dcb729e9c87</t>
  </si>
  <si>
    <t>Chairs nor</t>
  </si>
  <si>
    <t>84a1f64a-83b4-4b45-9c36-97a7d3c417a0</t>
  </si>
  <si>
    <t>Binders per</t>
  </si>
  <si>
    <t>e3d153b5-e64c-4895-bc94-c74d5ccc92de</t>
  </si>
  <si>
    <t>Pens exist</t>
  </si>
  <si>
    <t>6c5e6e2f-3032-4e17-96ef-f84633e349d9</t>
  </si>
  <si>
    <t>Tables ago</t>
  </si>
  <si>
    <t>8589018a-25f8-483c-8465-208267d0d908</t>
  </si>
  <si>
    <t>Binders bag</t>
  </si>
  <si>
    <t>01ba0370-43d5-422a-851d-e021a757fce7</t>
  </si>
  <si>
    <t>Binders start</t>
  </si>
  <si>
    <t>404d6731-e626-482c-a616-5d658f0aacab</t>
  </si>
  <si>
    <t>Binders turn</t>
  </si>
  <si>
    <t>992175fa-a6fd-4b7d-aca2-645d48a4b69f</t>
  </si>
  <si>
    <t>1f16c585-5f10-4dd4-9c20-6105e3a97b6d</t>
  </si>
  <si>
    <t>Paper politics</t>
  </si>
  <si>
    <t>4f0953bd-3967-487d-8bcb-b206803ce21a</t>
  </si>
  <si>
    <t>Chairs save</t>
  </si>
  <si>
    <t>c23754de-6f2e-4153-9aa1-3680d2caff3a</t>
  </si>
  <si>
    <t>Bookcases modern</t>
  </si>
  <si>
    <t>43edcae2-e1db-4c05-9e4c-d5e462f99e84</t>
  </si>
  <si>
    <t>Laptops movement</t>
  </si>
  <si>
    <t>b03e6706-21c1-4a59-abc4-b558f07910f9</t>
  </si>
  <si>
    <t>Accessories push</t>
  </si>
  <si>
    <t>5c3f77a7-c584-42b6-949b-01389082065f</t>
  </si>
  <si>
    <t>Chairs important</t>
  </si>
  <si>
    <t>31b87a8c-9c2a-4cc3-bcbe-fcbc38b49f5f</t>
  </si>
  <si>
    <t>Binders read</t>
  </si>
  <si>
    <t>b36fa2fe-9ac5-41ea-beee-9f135debac35</t>
  </si>
  <si>
    <t>Pens live</t>
  </si>
  <si>
    <t>e3e4799d-527f-4b9e-ab12-4c6373ddfef1</t>
  </si>
  <si>
    <t>Tables high</t>
  </si>
  <si>
    <t>770b2b91-3039-4b0e-a1c5-207344ba6efa</t>
  </si>
  <si>
    <t>Binders modern</t>
  </si>
  <si>
    <t>c6881de5-472c-49cf-92ab-00eb6bc1107d</t>
  </si>
  <si>
    <t>Bookcases something</t>
  </si>
  <si>
    <t>0dfd1408-137e-4e86-8d18-8dca841324f9</t>
  </si>
  <si>
    <t>Accessories least</t>
  </si>
  <si>
    <t>580055b7-9ff8-4f5f-8ffb-a0b7a1ae5f65</t>
  </si>
  <si>
    <t>Accessories two</t>
  </si>
  <si>
    <t>c91c118f-ae4b-49ec-8b58-58aa4dc81251</t>
  </si>
  <si>
    <t>Pens develop</t>
  </si>
  <si>
    <t>6a308357-09ef-4c04-b340-7e1a5eff4072</t>
  </si>
  <si>
    <t>Laptops about</t>
  </si>
  <si>
    <t>845d1d57-6fdd-4972-a49f-90a1eb2bfbe4</t>
  </si>
  <si>
    <t>Binders pressure</t>
  </si>
  <si>
    <t>745f246b-1c2c-4e45-86e0-04a22afefa81</t>
  </si>
  <si>
    <t>Binders or</t>
  </si>
  <si>
    <t>20523eda-c5af-4cfa-bc0f-76c69b783db9</t>
  </si>
  <si>
    <t>Binders continue</t>
  </si>
  <si>
    <t>614e71ab-510e-4a0e-89d4-03f2313d06f7</t>
  </si>
  <si>
    <t>Tables benefit</t>
  </si>
  <si>
    <t>aedb6387-2c34-47e3-96e3-f55618166d76</t>
  </si>
  <si>
    <t>Tables near</t>
  </si>
  <si>
    <t>6b12c376-ccff-4135-a7f2-5165b58ace64</t>
  </si>
  <si>
    <t>Phones affect</t>
  </si>
  <si>
    <t>021c6c8f-cc0a-4e67-b33c-d8814c442bb2</t>
  </si>
  <si>
    <t>Bookcases that</t>
  </si>
  <si>
    <t>de040105-5d78-4b3d-a88a-fac6c993f9ec</t>
  </si>
  <si>
    <t>Phones want</t>
  </si>
  <si>
    <t>4814a0be-4692-4c9f-b79f-0536124243e7</t>
  </si>
  <si>
    <t>Tables build</t>
  </si>
  <si>
    <t>6f814cf8-7b4f-4518-8c62-4cda8cb0149d</t>
  </si>
  <si>
    <t>Laptops point</t>
  </si>
  <si>
    <t>a0650f57-9289-429d-91ac-6ae66cacafc4</t>
  </si>
  <si>
    <t>Tables individual</t>
  </si>
  <si>
    <t>7a3db298-8119-4733-b7a8-52e1e2b25566</t>
  </si>
  <si>
    <t>Phones traditional</t>
  </si>
  <si>
    <t>a573562b-febc-4d6e-a5e9-6eebf9c9d44a</t>
  </si>
  <si>
    <t>Pens project</t>
  </si>
  <si>
    <t>76f567d3-ce47-4593-a9a0-a5904910651d</t>
  </si>
  <si>
    <t>Pens them</t>
  </si>
  <si>
    <t>610ab7e2-1c8b-49d7-ab48-48f4fbaf29f8</t>
  </si>
  <si>
    <t>Paper coach</t>
  </si>
  <si>
    <t>782ffa04-3b98-4f2a-8785-cc8918b66a7d</t>
  </si>
  <si>
    <t>Chairs above</t>
  </si>
  <si>
    <t>3cc58c0f-0076-4192-bee2-94c96ca40d70</t>
  </si>
  <si>
    <t>Phones particular</t>
  </si>
  <si>
    <t>23c5bf87-1f6a-4c5a-9f2f-4ea48ba656c0</t>
  </si>
  <si>
    <t>Chairs enough</t>
  </si>
  <si>
    <t>140bc0d9-d8fc-479d-b6ef-ba9b6df7e206</t>
  </si>
  <si>
    <t>Accessories relate</t>
  </si>
  <si>
    <t>02a72d08-690c-4c4a-a8e5-1e1ae8ebc4c7</t>
  </si>
  <si>
    <t>Bookcases herself</t>
  </si>
  <si>
    <t>8c95637b-ea9d-43ef-9050-875d485ff7ff</t>
  </si>
  <si>
    <t>Chairs reveal</t>
  </si>
  <si>
    <t>671afaf2-4224-4989-981b-02289ba59b3a</t>
  </si>
  <si>
    <t>Laptops benefit</t>
  </si>
  <si>
    <t>8a6c26e9-5084-404e-8f3c-99b1139f6385</t>
  </si>
  <si>
    <t>Binders fly</t>
  </si>
  <si>
    <t>0ccf52e2-1e92-41b5-88b5-a8b529db211b</t>
  </si>
  <si>
    <t>Tables among</t>
  </si>
  <si>
    <t>7bd60e18-57b0-422a-883c-7faa23fddceb</t>
  </si>
  <si>
    <t>Paper size</t>
  </si>
  <si>
    <t>27c17629-1167-4c4f-8fa5-490d62b03797</t>
  </si>
  <si>
    <t>Accessories budget</t>
  </si>
  <si>
    <t>3df82531-fcde-4322-99f1-14838f1c57c1</t>
  </si>
  <si>
    <t>Laptops model</t>
  </si>
  <si>
    <t>2a571729-d544-49c7-826c-4895bd848cc2</t>
  </si>
  <si>
    <t>Bookcases physical</t>
  </si>
  <si>
    <t>ceb3f72f-0043-442c-b76a-3d8ec155e1cd</t>
  </si>
  <si>
    <t>Binders environmental</t>
  </si>
  <si>
    <t>29d682f2-6a22-4270-a5d3-14e8afd4e848</t>
  </si>
  <si>
    <t>Pens traditional</t>
  </si>
  <si>
    <t>a5949ad3-1714-4aad-b38f-30b2b35442d5</t>
  </si>
  <si>
    <t>Tables of</t>
  </si>
  <si>
    <t>7a567b14-17bc-428e-8c11-345d03a732ed</t>
  </si>
  <si>
    <t>Chairs spend</t>
  </si>
  <si>
    <t>832b7c09-929d-48c9-ad8b-8a4f6f2b0f31</t>
  </si>
  <si>
    <t>Tables nice</t>
  </si>
  <si>
    <t>05cf0460-60a0-4ff7-acf3-fd6db411bfda</t>
  </si>
  <si>
    <t>Tables eye</t>
  </si>
  <si>
    <t>d3ddc00d-b080-455b-8060-c47fc9d0f85e</t>
  </si>
  <si>
    <t>Bookcases listen</t>
  </si>
  <si>
    <t>efd65cd0-cb50-4147-a4e2-2b6a065d020d</t>
  </si>
  <si>
    <t>Phones heart</t>
  </si>
  <si>
    <t>61df9e97-892e-47cc-8802-d587cee62901</t>
  </si>
  <si>
    <t>Accessories firm</t>
  </si>
  <si>
    <t>aebc04d5-cc8f-4d43-b92d-06fb81195b7f</t>
  </si>
  <si>
    <t>Accessories short</t>
  </si>
  <si>
    <t>6cb2de37-4a8a-47e0-8225-129d1a4109a5</t>
  </si>
  <si>
    <t>Binders eat</t>
  </si>
  <si>
    <t>b8dc8fe4-4f30-4fb6-89cf-b928edfed38a</t>
  </si>
  <si>
    <t>Pens eat</t>
  </si>
  <si>
    <t>80dc743e-dbb0-4a42-9361-5972f1ff915e</t>
  </si>
  <si>
    <t>Paper land</t>
  </si>
  <si>
    <t>9b1fc689-5073-49c8-b7d6-5003f628f685</t>
  </si>
  <si>
    <t>Accessories these</t>
  </si>
  <si>
    <t>3e81fadc-62f5-4f9e-bbac-3a7fbb353ca2</t>
  </si>
  <si>
    <t>Chairs production</t>
  </si>
  <si>
    <t>93f5a7ef-4939-45ff-b7d9-37101cbe9ea3</t>
  </si>
  <si>
    <t>Binders itself</t>
  </si>
  <si>
    <t>5d782746-30fc-49b8-a89c-27fc6854e205</t>
  </si>
  <si>
    <t>Bookcases discover</t>
  </si>
  <si>
    <t>1895add0-274c-46c4-a25d-9112d2358580</t>
  </si>
  <si>
    <t>Bookcases work</t>
  </si>
  <si>
    <t>e7e5cdbe-ff54-4ecd-a219-c364a8cbd555</t>
  </si>
  <si>
    <t>Phones animal</t>
  </si>
  <si>
    <t>80636580-7646-473b-ad4f-f1eb5e5003b0</t>
  </si>
  <si>
    <t>Binders rule</t>
  </si>
  <si>
    <t>ff8be45f-6560-454e-b19c-5ea3baf4e4be</t>
  </si>
  <si>
    <t>Paper skill</t>
  </si>
  <si>
    <t>1745ae5f-cfc3-4c97-b47e-58e25e65f8c8</t>
  </si>
  <si>
    <t>Tables serious</t>
  </si>
  <si>
    <t>65f12f13-9a0a-4636-8503-8f9b35269011</t>
  </si>
  <si>
    <t>Binders common</t>
  </si>
  <si>
    <t>f1c4be5e-eb15-4c6e-a213-b3d21888afdb</t>
  </si>
  <si>
    <t>Accessories recognize</t>
  </si>
  <si>
    <t>9b6d7160-b116-4b6a-981c-0b0cc599b16a</t>
  </si>
  <si>
    <t>Chairs your</t>
  </si>
  <si>
    <t>540919e8-1221-4128-ab18-a5804b160e5d</t>
  </si>
  <si>
    <t>Phones cover</t>
  </si>
  <si>
    <t>c4a93b53-3a2e-44ef-bf24-3ddea18cf401</t>
  </si>
  <si>
    <t>Phones all</t>
  </si>
  <si>
    <t>b87b670d-8b75-4c64-8e4d-6dda03b9c1fb</t>
  </si>
  <si>
    <t>Tables walk</t>
  </si>
  <si>
    <t>e05b68e9-fc3d-4afc-98bc-b007bae9c0d2</t>
  </si>
  <si>
    <t>Laptops forward</t>
  </si>
  <si>
    <t>a3049eaf-1b27-4c14-a168-51c435b5a5aa</t>
  </si>
  <si>
    <t>Phones ten</t>
  </si>
  <si>
    <t>5e01e032-6e36-472d-8fde-3f9a5b938644</t>
  </si>
  <si>
    <t>Laptops relate</t>
  </si>
  <si>
    <t>f671a0e2-8027-4017-9dab-272eb4e9996b</t>
  </si>
  <si>
    <t>Bookcases main</t>
  </si>
  <si>
    <t>c84962a8-7351-4722-8c57-9a367b7fbb9d</t>
  </si>
  <si>
    <t>Accessories other</t>
  </si>
  <si>
    <t>534ce165-98f9-4006-8c52-5c531965bfbf</t>
  </si>
  <si>
    <t>Chairs industry</t>
  </si>
  <si>
    <t>b3c4e1e7-2987-4c8b-aac0-bed0d2d4f26f</t>
  </si>
  <si>
    <t>Paper likely</t>
  </si>
  <si>
    <t>5b91b6b3-4654-47c2-914c-4c9708193469</t>
  </si>
  <si>
    <t>Accessories contain</t>
  </si>
  <si>
    <t>7f3cada1-974f-4ee4-a8d3-62e777e660ec</t>
  </si>
  <si>
    <t>Pens foot</t>
  </si>
  <si>
    <t>f9575dd3-c19e-47e2-8660-81fe80f644be</t>
  </si>
  <si>
    <t>Pens forward</t>
  </si>
  <si>
    <t>5df305c9-4062-440b-89b4-cdb770610f3b</t>
  </si>
  <si>
    <t>Laptops discussion</t>
  </si>
  <si>
    <t>1319af4d-51c5-4b6e-9cc7-7a4669642159</t>
  </si>
  <si>
    <t>Chairs resource</t>
  </si>
  <si>
    <t>28b56c27-1c36-4fbc-8f87-8cc3d852631a</t>
  </si>
  <si>
    <t>Binders government</t>
  </si>
  <si>
    <t>30023efc-eec4-454d-b58f-a7719ac63be8</t>
  </si>
  <si>
    <t>Pens reduce</t>
  </si>
  <si>
    <t>6c38368f-2d38-4361-ac04-9e3a1fa7275b</t>
  </si>
  <si>
    <t>Chairs media</t>
  </si>
  <si>
    <t>b4194c6e-9770-450c-9d49-f7b931832aa9</t>
  </si>
  <si>
    <t>Laptops section</t>
  </si>
  <si>
    <t>48ac4221-06fb-4d34-a1a4-9ced86b12864</t>
  </si>
  <si>
    <t>Accessories turn</t>
  </si>
  <si>
    <t>4b4591be-93a2-4c29-a265-c158551b0370</t>
  </si>
  <si>
    <t>Phones bit</t>
  </si>
  <si>
    <t>fc456316-49b0-4393-a4c5-0c3f66ae2afc</t>
  </si>
  <si>
    <t>Phones year</t>
  </si>
  <si>
    <t>7474a810-a43b-4947-b041-4359f88ebfe2</t>
  </si>
  <si>
    <t>Paper low</t>
  </si>
  <si>
    <t>d03d55ef-8e70-404e-baea-3093f7b67c2c</t>
  </si>
  <si>
    <t>Tables general</t>
  </si>
  <si>
    <t>9fdd6ffd-b762-461f-9b3a-14d368c52274</t>
  </si>
  <si>
    <t>Paper available</t>
  </si>
  <si>
    <t>5898a74c-fe24-4756-b83a-df3e5b8caf1d</t>
  </si>
  <si>
    <t>Pens such</t>
  </si>
  <si>
    <t>c8b43cc2-bd3a-4fed-97be-b32062402f47</t>
  </si>
  <si>
    <t>Tables air</t>
  </si>
  <si>
    <t>e5b19e8d-6459-4d9b-be7a-f72c2fdb3eef</t>
  </si>
  <si>
    <t>Bookcases it</t>
  </si>
  <si>
    <t>9455a9c6-1d10-4b08-8a85-69825d606bb8</t>
  </si>
  <si>
    <t>Paper public</t>
  </si>
  <si>
    <t>55f0c2d4-d255-4dd5-bc8d-709190fde1dd</t>
  </si>
  <si>
    <t>Binders note</t>
  </si>
  <si>
    <t>ceeb3d24-7036-4e86-a9e9-54d879331867</t>
  </si>
  <si>
    <t>Laptops ground</t>
  </si>
  <si>
    <t>cc69ff56-8de6-49ee-b57f-db3d51603e11</t>
  </si>
  <si>
    <t>Phones while</t>
  </si>
  <si>
    <t>5a4a7652-d03f-4cdc-a257-5617a3f033f2</t>
  </si>
  <si>
    <t>Paper Democrat</t>
  </si>
  <si>
    <t>1ccad9b1-6ce5-4e0e-a916-f38ab766f9f4</t>
  </si>
  <si>
    <t>Pens assume</t>
  </si>
  <si>
    <t>3a1d0f1c-b892-4574-a3cc-68e84faef558</t>
  </si>
  <si>
    <t>Laptops administration</t>
  </si>
  <si>
    <t>356f960c-776e-4841-a356-e10c3bb9aedb</t>
  </si>
  <si>
    <t>Bookcases try</t>
  </si>
  <si>
    <t>e01bb81b-2d79-4647-a8c8-a58130cd59f5</t>
  </si>
  <si>
    <t>Chairs rich</t>
  </si>
  <si>
    <t>45a62a74-5919-4921-bf89-4b964c41a4e5</t>
  </si>
  <si>
    <t>Paper purpose</t>
  </si>
  <si>
    <t>58ba85d2-eda8-47a0-94c2-66885aafc9f2</t>
  </si>
  <si>
    <t>Laptops evidence</t>
  </si>
  <si>
    <t>086b6a8b-023e-408f-92fa-fe8712c6f728</t>
  </si>
  <si>
    <t>Chairs study</t>
  </si>
  <si>
    <t>fe20fe47-2d13-4770-86e0-7258c2df157a</t>
  </si>
  <si>
    <t>Phones history</t>
  </si>
  <si>
    <t>b3587456-feb1-4fe2-b696-7701659e043c</t>
  </si>
  <si>
    <t>Binders sort</t>
  </si>
  <si>
    <t>502d35eb-5f8d-4777-bfe2-2f08fa919411</t>
  </si>
  <si>
    <t>Chairs stage</t>
  </si>
  <si>
    <t>0deeea7c-36fe-4323-93b0-6e819ba7ba46</t>
  </si>
  <si>
    <t>98b3f2c4-23b0-4175-b8f0-2993338479cb</t>
  </si>
  <si>
    <t>Accessories same</t>
  </si>
  <si>
    <t>a6b5719d-6af3-4bd5-895c-bb76d7bed58c</t>
  </si>
  <si>
    <t>Pens him</t>
  </si>
  <si>
    <t>a0e593b5-d7e7-4b47-aded-bca13ea39799</t>
  </si>
  <si>
    <t>Chairs investment</t>
  </si>
  <si>
    <t>48e0296c-95a0-40bb-a20f-42b203c626cd</t>
  </si>
  <si>
    <t>Chairs soon</t>
  </si>
  <si>
    <t>c1cf54af-7089-45d1-8dd1-aac9e5c693f6</t>
  </si>
  <si>
    <t>Pens choose</t>
  </si>
  <si>
    <t>fb6170f4-490e-4b0e-b0fa-a789daa16c12</t>
  </si>
  <si>
    <t>3090ac75-8565-488f-b4d4-b97605bc7e83</t>
  </si>
  <si>
    <t>Tables describe</t>
  </si>
  <si>
    <t>2b4f4409-6ffa-45a4-b6e1-c95425ab07bd</t>
  </si>
  <si>
    <t>Phones building</t>
  </si>
  <si>
    <t>04a32ab3-23d0-4cd9-a099-3c48d3cf52d2</t>
  </si>
  <si>
    <t>Phones sing</t>
  </si>
  <si>
    <t>ec7fcd8f-1a08-4f5d-ba86-63fa5efcb26a</t>
  </si>
  <si>
    <t>Laptops magazine</t>
  </si>
  <si>
    <t>bfda04e6-ffdf-461a-be41-e16b8deaed6a</t>
  </si>
  <si>
    <t>Tables specific</t>
  </si>
  <si>
    <t>a4b32860-3f7c-4f57-92b0-ae13be722afc</t>
  </si>
  <si>
    <t>Binders out</t>
  </si>
  <si>
    <t>431fcd43-eb2a-4c2c-8336-14f862fffca3</t>
  </si>
  <si>
    <t>Accessories year</t>
  </si>
  <si>
    <t>0dc3c6c4-7618-4884-ba84-9d8cb21bec0c</t>
  </si>
  <si>
    <t>Accessories modern</t>
  </si>
  <si>
    <t>8ce94754-5aec-4ee0-a1c0-eb5f6e9db126</t>
  </si>
  <si>
    <t>Chairs necessary</t>
  </si>
  <si>
    <t>9cbf9b63-216b-402d-b491-ea69705333ec</t>
  </si>
  <si>
    <t>Paper fire</t>
  </si>
  <si>
    <t>0f510f70-0f8a-488d-94d9-08e9281fd67e</t>
  </si>
  <si>
    <t>Paper describe</t>
  </si>
  <si>
    <t>72ed0052-c3e0-4e77-a364-4e3b7cff7333</t>
  </si>
  <si>
    <t>c95950ca-20a8-4b7a-aca5-51d9573073e8</t>
  </si>
  <si>
    <t>9f0cb218-7215-4be7-9e23-89f1a3b4b29b</t>
  </si>
  <si>
    <t>Laptops build</t>
  </si>
  <si>
    <t>e121fdb4-6e32-4ee7-864f-be5a6cfdae6f</t>
  </si>
  <si>
    <t>eb1b9fda-8157-4b63-8d26-f49ba1975d1a</t>
  </si>
  <si>
    <t>18d15162-0fd3-434f-9ef4-28995f9fafaf</t>
  </si>
  <si>
    <t>Laptops music</t>
  </si>
  <si>
    <t>ac2f9e77-9b35-43f1-b0aa-e94b4fbe9e69</t>
  </si>
  <si>
    <t>Laptops without</t>
  </si>
  <si>
    <t>a611e315-4f26-47f4-b13e-40ca56df2009</t>
  </si>
  <si>
    <t>Laptops information</t>
  </si>
  <si>
    <t>4ae6a752-9a45-4b5d-96c5-d091e9117428</t>
  </si>
  <si>
    <t>Bookcases cost</t>
  </si>
  <si>
    <t>69d00349-d76b-4c62-a1ec-f5600dc7b1a1</t>
  </si>
  <si>
    <t>Pens rest</t>
  </si>
  <si>
    <t>d7a189fc-e951-4bbd-af3d-481be9c9df85</t>
  </si>
  <si>
    <t>Paper art</t>
  </si>
  <si>
    <t>c5153436-c8db-4471-a34d-203f6e089ae5</t>
  </si>
  <si>
    <t>96c363e3-6d0a-47c5-8f90-6ad6bfc1e735</t>
  </si>
  <si>
    <t>Paper statement</t>
  </si>
  <si>
    <t>579a9cda-85d3-4fd8-ad17-91d3f93934e0</t>
  </si>
  <si>
    <t>Tables pay</t>
  </si>
  <si>
    <t>38f169d3-a33c-4a7d-8c6d-cd2fb172c461</t>
  </si>
  <si>
    <t>Pens suggest</t>
  </si>
  <si>
    <t>c27b50fa-1e36-41a4-a9c5-62551dd0e2e1</t>
  </si>
  <si>
    <t>Phones piece</t>
  </si>
  <si>
    <t>7871dbde-07bf-4c92-a284-c4b84345d32f</t>
  </si>
  <si>
    <t>Binders treatment</t>
  </si>
  <si>
    <t>55023f5f-f35d-4108-931b-d047b403c4a9</t>
  </si>
  <si>
    <t>Paper leader</t>
  </si>
  <si>
    <t>4b1b9665-7a4c-41e2-b3b8-2ef5bf2f935d</t>
  </si>
  <si>
    <t>Phones six</t>
  </si>
  <si>
    <t>537aada3-ff64-40b4-9030-e128dc779c7a</t>
  </si>
  <si>
    <t>Laptops reflect</t>
  </si>
  <si>
    <t>4d7fad7a-ce5b-44ff-8db2-bbecbe454a10</t>
  </si>
  <si>
    <t>Paper race</t>
  </si>
  <si>
    <t>2e5546e6-401f-4e2e-973e-1a62ef6d130c</t>
  </si>
  <si>
    <t>9456aecb-d964-4a87-b3c6-e909afccc4ec</t>
  </si>
  <si>
    <t>Bookcases build</t>
  </si>
  <si>
    <t>8fd47c9a-90d8-4651-bfad-286bdf6562cf</t>
  </si>
  <si>
    <t>Bookcases south</t>
  </si>
  <si>
    <t>cff9bb16-8f45-451f-8fe7-fd0c8f044158</t>
  </si>
  <si>
    <t>Bookcases least</t>
  </si>
  <si>
    <t>b41a3d0d-0f3b-44a6-9951-573f03e0906f</t>
  </si>
  <si>
    <t>Bookcases commercial</t>
  </si>
  <si>
    <t>8169aeca-f264-454b-85f2-4b469b28acdd</t>
  </si>
  <si>
    <t>Phones some</t>
  </si>
  <si>
    <t>3b8f4f51-021e-456f-8d41-b409ee09fbb7</t>
  </si>
  <si>
    <t>Phones suffer</t>
  </si>
  <si>
    <t>2e0a8dd3-d92a-4b08-b38a-0096cf1ae4eb</t>
  </si>
  <si>
    <t>Paper city</t>
  </si>
  <si>
    <t>6d373218-bcd9-4613-bfb6-15538a1505c6</t>
  </si>
  <si>
    <t>Chairs ahead</t>
  </si>
  <si>
    <t>4bcce884-2419-43b1-9430-1f075d927999</t>
  </si>
  <si>
    <t>Chairs inside</t>
  </si>
  <si>
    <t>c2db0390-6d90-4ca7-9196-9ad08c2075db</t>
  </si>
  <si>
    <t>Paper something</t>
  </si>
  <si>
    <t>3686f844-1386-405c-9444-6336839afd26</t>
  </si>
  <si>
    <t>Tables size</t>
  </si>
  <si>
    <t>99166bb5-8fd7-4329-9b08-ad2dc0f37933</t>
  </si>
  <si>
    <t>Accessories opportunity</t>
  </si>
  <si>
    <t>40be7d7a-c3d9-4b1e-a35e-7d71a9d64519</t>
  </si>
  <si>
    <t>Laptops in</t>
  </si>
  <si>
    <t>6465ce87-4899-4dea-ae3a-3b94d51f2b4a</t>
  </si>
  <si>
    <t>Bookcases gas</t>
  </si>
  <si>
    <t>2c1c3298-a04f-4bc5-9294-dad0faa29a37</t>
  </si>
  <si>
    <t>Pens bad</t>
  </si>
  <si>
    <t>b21c9fc9-958d-4ddf-9813-a320566046c9</t>
  </si>
  <si>
    <t>Paper letter</t>
  </si>
  <si>
    <t>d3afbc22-7e49-45e1-96cf-0b1516dbfd85</t>
  </si>
  <si>
    <t>Tables rock</t>
  </si>
  <si>
    <t>c620d3bd-6658-48bd-942f-676211fdf648</t>
  </si>
  <si>
    <t>Phones financial</t>
  </si>
  <si>
    <t>0c17068d-4d39-4167-bbd3-9edccc9ae208</t>
  </si>
  <si>
    <t>Binders cell</t>
  </si>
  <si>
    <t>25224874-70ca-45da-a430-ebc1689e0223</t>
  </si>
  <si>
    <t>Laptops beyond</t>
  </si>
  <si>
    <t>e18be463-3e7f-4e08-8ea7-8b7dcb1c8776</t>
  </si>
  <si>
    <t>Chairs whether</t>
  </si>
  <si>
    <t>22d1913e-69db-4fe5-bc83-dfe850d0638b</t>
  </si>
  <si>
    <t>Paper under</t>
  </si>
  <si>
    <t>578777ff-063f-4ee3-b987-2e7ff0f79f92</t>
  </si>
  <si>
    <t>Laptops whose</t>
  </si>
  <si>
    <t>d3f66c3f-7558-4c5f-bc54-7b02a654391e</t>
  </si>
  <si>
    <t>Paper hit</t>
  </si>
  <si>
    <t>a9a6c38f-d7d8-4fd5-8eda-327ee630e31c</t>
  </si>
  <si>
    <t>03282f3c-8449-41ea-9533-2610dca76ca7</t>
  </si>
  <si>
    <t>0f2ddf6d-322e-44ec-9f69-57e1595e9bc2</t>
  </si>
  <si>
    <t>Laptops score</t>
  </si>
  <si>
    <t>3f0af857-5409-444d-8df7-8417dc14730b</t>
  </si>
  <si>
    <t>Paper have</t>
  </si>
  <si>
    <t>7827a490-8061-4d65-8242-067461df1d6f</t>
  </si>
  <si>
    <t>Chairs day</t>
  </si>
  <si>
    <t>07d3ee5d-fb21-437b-9de6-0122c9620168</t>
  </si>
  <si>
    <t>Chairs experience</t>
  </si>
  <si>
    <t>654b9505-4d6f-414f-8400-e60f2f01f1be</t>
  </si>
  <si>
    <t>Pens mission</t>
  </si>
  <si>
    <t>60060157-4989-4393-889f-746e2c3ecd23</t>
  </si>
  <si>
    <t>Pens health</t>
  </si>
  <si>
    <t>d0340789-12c9-4c5b-aa33-616e68a46731</t>
  </si>
  <si>
    <t>Bookcases make</t>
  </si>
  <si>
    <t>f3bbb766-e3e0-412b-8930-185e464d076c</t>
  </si>
  <si>
    <t>Chairs seven</t>
  </si>
  <si>
    <t>70b6cb25-5d17-4bce-bab6-c4b24c180fa5</t>
  </si>
  <si>
    <t>Laptops there</t>
  </si>
  <si>
    <t>edd34d27-44f5-4c5c-9ae7-74c072b07d1a</t>
  </si>
  <si>
    <t>Binders similar</t>
  </si>
  <si>
    <t>af74ba38-d001-47b8-bba3-ca106cc13a52</t>
  </si>
  <si>
    <t>Laptops team</t>
  </si>
  <si>
    <t>911711ab-daf4-42da-91d6-95b105bdeeab</t>
  </si>
  <si>
    <t>Chairs lose</t>
  </si>
  <si>
    <t>03fb02c2-1ab9-4773-982d-2663436735f0</t>
  </si>
  <si>
    <t>Tables decade</t>
  </si>
  <si>
    <t>daa32fec-e34c-4d8f-99e4-b5dea45142b7</t>
  </si>
  <si>
    <t>Chairs call</t>
  </si>
  <si>
    <t>0053fb7d-1ad1-4b8b-abe1-e480adf2e9a6</t>
  </si>
  <si>
    <t>Phones run</t>
  </si>
  <si>
    <t>5f24a92b-757e-451e-a26a-924894761dc3</t>
  </si>
  <si>
    <t>Tables final</t>
  </si>
  <si>
    <t>62518594-50b5-449c-9e45-417fd5fff782</t>
  </si>
  <si>
    <t>Chairs should</t>
  </si>
  <si>
    <t>50313bb6-7e4f-4058-880f-74dc871cc085</t>
  </si>
  <si>
    <t>f977023f-4bcf-41ad-90b1-2421585d4800</t>
  </si>
  <si>
    <t>Chairs successful</t>
  </si>
  <si>
    <t>cd47c152-582d-404a-9ee5-e766794cf3ba</t>
  </si>
  <si>
    <t>Bookcases north</t>
  </si>
  <si>
    <t>f981d951-1e0f-4e95-9e8e-cc26e5f02ecd</t>
  </si>
  <si>
    <t>d84a15f8-966f-4685-a258-e70560c72422</t>
  </si>
  <si>
    <t>Phones memory</t>
  </si>
  <si>
    <t>b8fa2878-88c0-4001-a6f8-377672eb9daf</t>
  </si>
  <si>
    <t>Laptops maybe</t>
  </si>
  <si>
    <t>2cb0785d-d82a-4d75-9416-8f89994f7c3d</t>
  </si>
  <si>
    <t>Laptops knowledge</t>
  </si>
  <si>
    <t>5731a019-c68f-45ef-9a2d-26fdda10b0ca</t>
  </si>
  <si>
    <t>Accessories car</t>
  </si>
  <si>
    <t>5369fb02-e27f-44f3-b839-f21495495518</t>
  </si>
  <si>
    <t>Tables ok</t>
  </si>
  <si>
    <t>804c824f-e3cb-4b99-8c2e-906e2c57b467</t>
  </si>
  <si>
    <t>Phones bank</t>
  </si>
  <si>
    <t>f81dcdc2-f9fe-4f17-b792-356ab8bd4155</t>
  </si>
  <si>
    <t>Accessories message</t>
  </si>
  <si>
    <t>b2666069-c0fb-4b4b-9137-ae14f71a33cf</t>
  </si>
  <si>
    <t>5eed58f8-652b-4ac1-a334-c00dfe9f5985</t>
  </si>
  <si>
    <t>6d58d00f-177f-4fb8-a51b-fa104456c55e</t>
  </si>
  <si>
    <t>Pens article</t>
  </si>
  <si>
    <t>11f472f2-6b39-411e-93c3-8bd95003475f</t>
  </si>
  <si>
    <t>76dfd417-f6c9-4d9d-8290-6bf84eaa8687</t>
  </si>
  <si>
    <t>Binders want</t>
  </si>
  <si>
    <t>d966a34a-717b-44c6-a18d-7881e6182aee</t>
  </si>
  <si>
    <t>Chairs focus</t>
  </si>
  <si>
    <t>88bcad67-ecba-421d-876c-03d64ca066cc</t>
  </si>
  <si>
    <t>Chairs cause</t>
  </si>
  <si>
    <t>2bcf19c2-07c6-4111-92bd-f757af6f077a</t>
  </si>
  <si>
    <t>Phones physical</t>
  </si>
  <si>
    <t>37be8f79-c930-4f6d-8982-78be453ea57a</t>
  </si>
  <si>
    <t>Paper main</t>
  </si>
  <si>
    <t>14cf1702-18bd-4da6-aaf0-d5aa279f54e4</t>
  </si>
  <si>
    <t>Phones begin</t>
  </si>
  <si>
    <t>3dd731a0-ce83-4fc3-9c05-bbe0cdc72181</t>
  </si>
  <si>
    <t>Pens piece</t>
  </si>
  <si>
    <t>e28b0e20-928b-41ec-9287-d219f9142dea</t>
  </si>
  <si>
    <t>Pens we</t>
  </si>
  <si>
    <t>92192cc6-9d7f-4ae4-8755-080fc1a5b106</t>
  </si>
  <si>
    <t>580787b5-c1af-4ff1-ae75-349714bc46ea</t>
  </si>
  <si>
    <t>Accessories focus</t>
  </si>
  <si>
    <t>b9a2012c-52f7-4de4-9fcb-963a4a6e61e7</t>
  </si>
  <si>
    <t>Pens answer</t>
  </si>
  <si>
    <t>015ae6b0-a9d4-4c0f-94bd-a461b391f961</t>
  </si>
  <si>
    <t>Pens wall</t>
  </si>
  <si>
    <t>8dcc99ec-cc47-40b5-a394-87bffe18d489</t>
  </si>
  <si>
    <t>Tables enjoy</t>
  </si>
  <si>
    <t>dd33b3dc-f632-4bd6-86e5-a87fe4149be3</t>
  </si>
  <si>
    <t>Binders carry</t>
  </si>
  <si>
    <t>df28cfc0-baaa-4295-b280-d7d716791adb</t>
  </si>
  <si>
    <t>Tables we</t>
  </si>
  <si>
    <t>25fcf43f-64e7-4656-955e-9daadc990634</t>
  </si>
  <si>
    <t>Accessories century</t>
  </si>
  <si>
    <t>7a0a67f5-2178-4cd4-86fb-9496ee052561</t>
  </si>
  <si>
    <t>19be6cf9-4264-430f-bcda-b4bd1e3ede1b</t>
  </si>
  <si>
    <t>Laptops shoulder</t>
  </si>
  <si>
    <t>6214aec0-fa2c-4302-bab2-00783cf0fa62</t>
  </si>
  <si>
    <t>Laptops Democrat</t>
  </si>
  <si>
    <t>30902357-eb95-4a79-8bd4-75547806150d</t>
  </si>
  <si>
    <t>Binders reflect</t>
  </si>
  <si>
    <t>a8ffa721-c379-4f4f-b96b-635952a97e2b</t>
  </si>
  <si>
    <t>Pens information</t>
  </si>
  <si>
    <t>1737a86c-48b0-427c-90a8-e91c708fdf7a</t>
  </si>
  <si>
    <t>Phones candidate</t>
  </si>
  <si>
    <t>0cee4085-54d3-4d64-9d0b-47ced3430763</t>
  </si>
  <si>
    <t>Phones guess</t>
  </si>
  <si>
    <t>3b9a8021-d20f-4a49-a947-f856a4ad1ec3</t>
  </si>
  <si>
    <t>Paper mission</t>
  </si>
  <si>
    <t>a77fe22a-7427-4191-88c4-bdd5c789f43f</t>
  </si>
  <si>
    <t>Phones bring</t>
  </si>
  <si>
    <t>e6fa5d38-105b-4ffd-9241-0df1a015a2f0</t>
  </si>
  <si>
    <t>Pens bank</t>
  </si>
  <si>
    <t>7a16e220-201f-4a28-bd31-a01dc1cf2e93</t>
  </si>
  <si>
    <t>Bookcases daughter</t>
  </si>
  <si>
    <t>56750568-3cbf-4e67-aa31-c6a4a2798805</t>
  </si>
  <si>
    <t>Chairs food</t>
  </si>
  <si>
    <t>42ee5810-b935-4ed2-8974-ee6ce39e1a1f</t>
  </si>
  <si>
    <t>Laptops seat</t>
  </si>
  <si>
    <t>8c8f7245-0f45-4e9a-a9a2-f91a7ff4e45c</t>
  </si>
  <si>
    <t>Pens evening</t>
  </si>
  <si>
    <t>f1ea6cc1-7bef-4f7e-a8ac-d68a8abd8554</t>
  </si>
  <si>
    <t>Tables beat</t>
  </si>
  <si>
    <t>0641f476-d4df-46b8-be26-3ce3c005cf28</t>
  </si>
  <si>
    <t>Pens situation</t>
  </si>
  <si>
    <t>9a11e98a-39ae-4510-9fa0-f281839bcd84</t>
  </si>
  <si>
    <t>Tables debate</t>
  </si>
  <si>
    <t>c675820a-a486-48ac-a35a-f2f7f76437c5</t>
  </si>
  <si>
    <t>Paper soldier</t>
  </si>
  <si>
    <t>815dc334-634b-44ac-bb37-110293f93ba0</t>
  </si>
  <si>
    <t>Chairs air</t>
  </si>
  <si>
    <t>26660e95-457c-48af-8c8f-04142d7ed07c</t>
  </si>
  <si>
    <t>Laptops fly</t>
  </si>
  <si>
    <t>f8772aac-6f95-4fb0-aeb7-74cac7f108c8</t>
  </si>
  <si>
    <t>Phones image</t>
  </si>
  <si>
    <t>a2a4388a-ba26-43a8-8444-3875890d9a60</t>
  </si>
  <si>
    <t>Paper pass</t>
  </si>
  <si>
    <t>5649e898-0210-49f3-af75-9d4b0311386b</t>
  </si>
  <si>
    <t>Phones own</t>
  </si>
  <si>
    <t>881e1391-d252-43ba-8961-4f97bbe184cd</t>
  </si>
  <si>
    <t>27848629-b3d6-4ce2-aa4f-e139484d8d61</t>
  </si>
  <si>
    <t>Phones southern</t>
  </si>
  <si>
    <t>289270a1-21a6-4451-93f7-6af158a86ce3</t>
  </si>
  <si>
    <t>Chairs environmental</t>
  </si>
  <si>
    <t>8c819856-bf9d-4741-86ef-f8883138bf8d</t>
  </si>
  <si>
    <t>Chairs partner</t>
  </si>
  <si>
    <t>5cca90a1-e79c-4855-957b-3a92decdc215</t>
  </si>
  <si>
    <t>Binders entire</t>
  </si>
  <si>
    <t>7330c7a3-6261-4fc8-a604-fe3dfccf65d6</t>
  </si>
  <si>
    <t>Phones mean</t>
  </si>
  <si>
    <t>ba5e46e5-a8b4-47ce-ab32-758818910ba7</t>
  </si>
  <si>
    <t>Bookcases military</t>
  </si>
  <si>
    <t>aed54dc6-1a04-4bab-8e20-8b57130ccb44</t>
  </si>
  <si>
    <t>Paper food</t>
  </si>
  <si>
    <t>c3432089-e5fa-43b5-9fac-fe0f42f88060</t>
  </si>
  <si>
    <t>Pens medical</t>
  </si>
  <si>
    <t>0631e70b-fbee-43cc-8d9d-f1525f65a0ee</t>
  </si>
  <si>
    <t>Bookcases machine</t>
  </si>
  <si>
    <t>cbd9b8cc-ac3c-46e6-9413-069efec2e766</t>
  </si>
  <si>
    <t>Accessories left</t>
  </si>
  <si>
    <t>d243a3e3-7a79-45d0-a13f-728e9702270a</t>
  </si>
  <si>
    <t>Pens property</t>
  </si>
  <si>
    <t>7735cdbd-aab2-4a64-a4e4-8b81bd1ec99c</t>
  </si>
  <si>
    <t>Chairs truth</t>
  </si>
  <si>
    <t>7d3f1051-e977-40e7-a9b6-de7e805d01a6</t>
  </si>
  <si>
    <t>Bookcases raise</t>
  </si>
  <si>
    <t>1f6b37e3-6493-431e-b792-c383209ae98f</t>
  </si>
  <si>
    <t>Laptops stock</t>
  </si>
  <si>
    <t>e530771a-d03e-4baf-9eb6-29e708f630af</t>
  </si>
  <si>
    <t>Laptops paper</t>
  </si>
  <si>
    <t>764ee37b-7558-4962-bf3a-af2a0620c37b</t>
  </si>
  <si>
    <t>Paper where</t>
  </si>
  <si>
    <t>89f60bb5-adc5-4f86-9b8c-56251d344157</t>
  </si>
  <si>
    <t>Pens theory</t>
  </si>
  <si>
    <t>345f53c5-0c71-41d5-941e-f378e2ccaf9d</t>
  </si>
  <si>
    <t>Phones over</t>
  </si>
  <si>
    <t>38ff2ac2-3fe9-46f1-adc8-9388978ab37b</t>
  </si>
  <si>
    <t>Pens team</t>
  </si>
  <si>
    <t>17478f66-a8f0-48ba-8d58-a1bd8235025f</t>
  </si>
  <si>
    <t>Laptops available</t>
  </si>
  <si>
    <t>86c15297-dd6f-45a2-9966-1b90f8539295</t>
  </si>
  <si>
    <t>Laptops politics</t>
  </si>
  <si>
    <t>7d87c5cc-e504-42ff-b9bf-ba1aafac4db3</t>
  </si>
  <si>
    <t>Bookcases meet</t>
  </si>
  <si>
    <t>7f43c5a5-6288-4278-a50d-3e5ae005c8e7</t>
  </si>
  <si>
    <t>Phones each</t>
  </si>
  <si>
    <t>114c2304-ef3f-4929-ba70-27e42fbe7375</t>
  </si>
  <si>
    <t>Paper carry</t>
  </si>
  <si>
    <t>befc0874-a067-43c7-b3ba-f375576c1595</t>
  </si>
  <si>
    <t>Laptops all</t>
  </si>
  <si>
    <t>ee03919c-f841-494b-be56-8ff1adf4cb12</t>
  </si>
  <si>
    <t>Accessories feel</t>
  </si>
  <si>
    <t>56fdefdd-adba-415a-8702-b810dd2988b1</t>
  </si>
  <si>
    <t>Paper a</t>
  </si>
  <si>
    <t>192b613f-5a2b-496d-a850-2903f1a3c605</t>
  </si>
  <si>
    <t>Binders no</t>
  </si>
  <si>
    <t>77589f3b-efef-415c-9453-227d238a0268</t>
  </si>
  <si>
    <t>Chairs around</t>
  </si>
  <si>
    <t>996c5189-b2a4-48a1-a838-afca3c5e4b92</t>
  </si>
  <si>
    <t>Phones direction</t>
  </si>
  <si>
    <t>a1fa9c63-5190-407c-9890-49735443669a</t>
  </si>
  <si>
    <t>Laptops be</t>
  </si>
  <si>
    <t>725d3de8-6e1c-4b4e-ac82-41af58d3f087</t>
  </si>
  <si>
    <t>Bookcases around</t>
  </si>
  <si>
    <t>de436728-1c8e-4d87-b2ca-a4fd1107038a</t>
  </si>
  <si>
    <t>Binders mention</t>
  </si>
  <si>
    <t>6ca460cb-0f00-4d2c-8842-cbccf005078a</t>
  </si>
  <si>
    <t>Paper experience</t>
  </si>
  <si>
    <t>5b34bbea-4868-4a22-81f2-b8edad97bc04</t>
  </si>
  <si>
    <t>Phones fire</t>
  </si>
  <si>
    <t>fd505b12-76a5-49de-b6a7-ca3ea49cd3b8</t>
  </si>
  <si>
    <t>Paper different</t>
  </si>
  <si>
    <t>b748c0ad-c5a4-4d12-bc99-49fd024dc176</t>
  </si>
  <si>
    <t>Chairs attention</t>
  </si>
  <si>
    <t>e5cd5b4b-1fb3-410d-a770-ee82a7427143</t>
  </si>
  <si>
    <t>Paper subject</t>
  </si>
  <si>
    <t>684657ad-c031-4642-b52e-26b36ed4f8dc</t>
  </si>
  <si>
    <t>Pens third</t>
  </si>
  <si>
    <t>58cb0da0-2321-4dcb-ab90-8217ca6e23bf</t>
  </si>
  <si>
    <t>Laptops adult</t>
  </si>
  <si>
    <t>82a02c26-401e-4ae8-a9f3-2711554938cd</t>
  </si>
  <si>
    <t>Laptops lose</t>
  </si>
  <si>
    <t>f820fc6b-a1c2-4747-b10d-0ff29b2babe5</t>
  </si>
  <si>
    <t>Phones continue</t>
  </si>
  <si>
    <t>1bee4b72-4e53-40fc-870c-c8f743a467c7</t>
  </si>
  <si>
    <t>Accessories go</t>
  </si>
  <si>
    <t>3bfe2d66-17b2-4484-9cc0-fc597129823c</t>
  </si>
  <si>
    <t>Laptops recently</t>
  </si>
  <si>
    <t>00ea4db8-8917-4f7a-9c1e-239a08ae68a1</t>
  </si>
  <si>
    <t>Binders surface</t>
  </si>
  <si>
    <t>09324a43-6660-44d3-b8e2-2eae07115793</t>
  </si>
  <si>
    <t>Bookcases property</t>
  </si>
  <si>
    <t>e5e0566c-6d65-457d-9325-8bdff93b2547</t>
  </si>
  <si>
    <t>Binders owner</t>
  </si>
  <si>
    <t>b40d3ea1-74e3-4d0b-855e-85295637afe1</t>
  </si>
  <si>
    <t>Bookcases toward</t>
  </si>
  <si>
    <t>a7b9c7d7-1a2a-471f-b28b-f840295203ee</t>
  </si>
  <si>
    <t>Bookcases where</t>
  </si>
  <si>
    <t>720dd4cc-089f-4aae-a8fa-5ca62b365d92</t>
  </si>
  <si>
    <t>Paper wrong</t>
  </si>
  <si>
    <t>0d7eb95b-d788-4523-9656-1b567a98df8d</t>
  </si>
  <si>
    <t>Phones war</t>
  </si>
  <si>
    <t>1743ad94-fc1d-407e-85f0-d187c44d9710</t>
  </si>
  <si>
    <t>f6235f39-7e92-401d-a485-c9d8e10f39e7</t>
  </si>
  <si>
    <t>a1394054-dca9-499c-ab8b-9c44254fab21</t>
  </si>
  <si>
    <t>Accessories good</t>
  </si>
  <si>
    <t>e1fae46d-a795-49b3-a79c-77611fa971d7</t>
  </si>
  <si>
    <t>Paper increase</t>
  </si>
  <si>
    <t>10184f93-d610-46ae-8fb1-cd849aee9160</t>
  </si>
  <si>
    <t>Pens tell</t>
  </si>
  <si>
    <t>4c0c002b-83cc-43df-b101-d9cbd88c00f1</t>
  </si>
  <si>
    <t>Binders opportunity</t>
  </si>
  <si>
    <t>700ea655-48b7-4dc6-9eff-004e176961fa</t>
  </si>
  <si>
    <t>Accessories model</t>
  </si>
  <si>
    <t>cdc761a7-2a76-4727-9759-fad27a484791</t>
  </si>
  <si>
    <t>Pens yard</t>
  </si>
  <si>
    <t>f6d4a19f-790f-4896-8034-5d92c99f0ee8</t>
  </si>
  <si>
    <t>Paper wish</t>
  </si>
  <si>
    <t>fe1c8024-e64d-4e43-8700-14b552d26678</t>
  </si>
  <si>
    <t>Paper during</t>
  </si>
  <si>
    <t>e75c936f-2987-4608-9b63-246c736685bf</t>
  </si>
  <si>
    <t>Phones energy</t>
  </si>
  <si>
    <t>5a4e6379-a2de-4905-bf4e-57991a91a7ca</t>
  </si>
  <si>
    <t>Tables various</t>
  </si>
  <si>
    <t>36fab53a-1b68-455a-9abb-f252eba9b58e</t>
  </si>
  <si>
    <t>Paper turn</t>
  </si>
  <si>
    <t>40ee76cc-0ca6-4b6f-b6a6-c704feb18166</t>
  </si>
  <si>
    <t>Chairs always</t>
  </si>
  <si>
    <t>f8ecfdd3-60e7-4f5f-a90f-981c22f14647</t>
  </si>
  <si>
    <t>Phones change</t>
  </si>
  <si>
    <t>123d93c0-d33f-4057-b616-2c92efb6e936</t>
  </si>
  <si>
    <t>Bookcases national</t>
  </si>
  <si>
    <t>e9014d53-0dc3-494c-92ed-903027ea63b8</t>
  </si>
  <si>
    <t>Chairs western</t>
  </si>
  <si>
    <t>7e94da04-0e2e-452e-93d8-303abf5b79ab</t>
  </si>
  <si>
    <t>Accessories imagine</t>
  </si>
  <si>
    <t>712bd0d9-335c-4967-8e40-6246964d4510</t>
  </si>
  <si>
    <t>201a7c10-9d07-418a-a1f6-78d12746a04f</t>
  </si>
  <si>
    <t>Pens shoulder</t>
  </si>
  <si>
    <t>70a68019-03d6-4e2f-accc-e3e13cdd316b</t>
  </si>
  <si>
    <t>Laptops get</t>
  </si>
  <si>
    <t>e7d56db4-33bc-4d39-8671-f8cef2d48c69</t>
  </si>
  <si>
    <t>Pens thus</t>
  </si>
  <si>
    <t>9775bc92-7934-45b6-a0c1-90b14ad4b977</t>
  </si>
  <si>
    <t>Pens establish</t>
  </si>
  <si>
    <t>fed30574-01e8-4e0b-b619-b1f449bfe896</t>
  </si>
  <si>
    <t>Laptops letter</t>
  </si>
  <si>
    <t>99aee49b-292d-4618-b71c-bb80bbe2d952</t>
  </si>
  <si>
    <t>Phones reveal</t>
  </si>
  <si>
    <t>4480dd31-ae07-4f44-b76a-5edb31eadd6d</t>
  </si>
  <si>
    <t>Pens until</t>
  </si>
  <si>
    <t>bf49e5ef-d371-4aa8-820b-c6b6de049ad6</t>
  </si>
  <si>
    <t>Binders kid</t>
  </si>
  <si>
    <t>110e6d75-4019-4e5e-b3e9-5c16c3eae9b4</t>
  </si>
  <si>
    <t>ef846c9c-2dc9-45a2-8949-18d0eac27267</t>
  </si>
  <si>
    <t>Accessories hold</t>
  </si>
  <si>
    <t>a68f1aa3-a938-4e79-97cb-44cc67fd8ac9</t>
  </si>
  <si>
    <t>Chairs certainly</t>
  </si>
  <si>
    <t>36d80764-ac3c-4a99-905b-09dd65b7741d</t>
  </si>
  <si>
    <t>Tables report</t>
  </si>
  <si>
    <t>f9909b6e-e6a0-4fc8-bd62-74b1d24bcf87</t>
  </si>
  <si>
    <t>6c12bcf0-6c74-4aac-ba7d-da0a0baa068b</t>
  </si>
  <si>
    <t>Laptops follow</t>
  </si>
  <si>
    <t>02734b95-26c0-445d-aed2-15929b5e5fb6</t>
  </si>
  <si>
    <t>Bookcases available</t>
  </si>
  <si>
    <t>c907b802-624c-46b1-a629-3b3b24977d34</t>
  </si>
  <si>
    <t>Binders between</t>
  </si>
  <si>
    <t>2ac236c6-c60e-44bb-86bd-ec3e3ac872c3</t>
  </si>
  <si>
    <t>Pens church</t>
  </si>
  <si>
    <t>781138fe-9997-4fc5-a530-f6e3a961d03b</t>
  </si>
  <si>
    <t>Laptops least</t>
  </si>
  <si>
    <t>ea67f0c9-efe5-4cd8-a0fb-aa3a672953fe</t>
  </si>
  <si>
    <t>Tables effort</t>
  </si>
  <si>
    <t>ad43a3ed-d4d8-48e6-a4e0-215cea44ec3b</t>
  </si>
  <si>
    <t>Bookcases little</t>
  </si>
  <si>
    <t>d787cbec-ec4f-4a34-af7b-684c6e31c3c2</t>
  </si>
  <si>
    <t>Bookcases population</t>
  </si>
  <si>
    <t>fca054c3-54f2-40bc-b47f-cbfa46946140</t>
  </si>
  <si>
    <t>Binders determine</t>
  </si>
  <si>
    <t>6b5391ea-2941-4cbf-9e34-86fa8d75f40a</t>
  </si>
  <si>
    <t>Accessories spring</t>
  </si>
  <si>
    <t>b01c5276-579e-4511-9d3a-6bb772117b6d</t>
  </si>
  <si>
    <t>Paper add</t>
  </si>
  <si>
    <t>1e24be3f-10c9-4008-bce0-6be753909464</t>
  </si>
  <si>
    <t>Tables agreement</t>
  </si>
  <si>
    <t>9a775a89-de6a-4274-bf6c-80c9ac08a959</t>
  </si>
  <si>
    <t>Chairs wear</t>
  </si>
  <si>
    <t>e4b23c5b-cc44-4273-93ba-21c8322d8af7</t>
  </si>
  <si>
    <t>Laptops my</t>
  </si>
  <si>
    <t>249fdae0-e54b-4014-8a24-1ffb943bf01f</t>
  </si>
  <si>
    <t>6cb3c35f-12d9-4c7f-9146-7f2437fc18bb</t>
  </si>
  <si>
    <t>Laptops state</t>
  </si>
  <si>
    <t>edea5a29-6e79-43c4-9593-701b20920769</t>
  </si>
  <si>
    <t>Accessories mother</t>
  </si>
  <si>
    <t>b0b2e610-ea56-4182-af35-7d0d06cf4838</t>
  </si>
  <si>
    <t>Laptops middle</t>
  </si>
  <si>
    <t>c349e145-0e73-42a1-9f32-61284537532c</t>
  </si>
  <si>
    <t>Bookcases goal</t>
  </si>
  <si>
    <t>087c94ed-35fe-4008-9b11-96990da3f604</t>
  </si>
  <si>
    <t>Laptops court</t>
  </si>
  <si>
    <t>e5a9bd1f-c798-4fd0-bebd-5775045c65f1</t>
  </si>
  <si>
    <t>Pens identify</t>
  </si>
  <si>
    <t>a666ef77-1811-47d0-b32d-aff3fbba2293</t>
  </si>
  <si>
    <t>Accessories line</t>
  </si>
  <si>
    <t>f66d3035-b047-4ea4-aef1-fb6987b27b9e</t>
  </si>
  <si>
    <t>Bookcases let</t>
  </si>
  <si>
    <t>01c01770-3653-4d69-9853-b4bb46d0ffd4</t>
  </si>
  <si>
    <t>Bookcases might</t>
  </si>
  <si>
    <t>49991409-3c63-41b9-8a11-cba60915bf6d</t>
  </si>
  <si>
    <t>906032d5-cdb8-4d5b-82ba-8cf8d7984628</t>
  </si>
  <si>
    <t>886b160b-24b4-43b0-9687-dafb876a02a4</t>
  </si>
  <si>
    <t>Bookcases movie</t>
  </si>
  <si>
    <t>c728aeff-5b60-44ad-9297-4a7d6ef0402b</t>
  </si>
  <si>
    <t>Pens a</t>
  </si>
  <si>
    <t>0b29eb6d-bb08-4068-a683-1a16de65a2cd</t>
  </si>
  <si>
    <t>Pens represent</t>
  </si>
  <si>
    <t>e9572918-57ec-45d3-a2f6-f9a8642d584a</t>
  </si>
  <si>
    <t>Binders level</t>
  </si>
  <si>
    <t>1978c43d-7cac-4213-a459-3c780396c517</t>
  </si>
  <si>
    <t>Pens sport</t>
  </si>
  <si>
    <t>663d931b-f9b0-4b84-b6d5-19f905180c4f</t>
  </si>
  <si>
    <t>Chairs government</t>
  </si>
  <si>
    <t>64777fcb-a893-47a6-ba2f-2618ad972660</t>
  </si>
  <si>
    <t>Laptops focus</t>
  </si>
  <si>
    <t>6db36f0c-cb43-401d-8674-46a1894a0454</t>
  </si>
  <si>
    <t>Accessories kitchen</t>
  </si>
  <si>
    <t>abe4e528-46b9-4b43-9fcb-9b2ab66d0b86</t>
  </si>
  <si>
    <t>Laptops fire</t>
  </si>
  <si>
    <t>bfc93062-e62e-4afc-9e28-ddd7646808f6</t>
  </si>
  <si>
    <t>Laptops marriage</t>
  </si>
  <si>
    <t>2e29d872-d875-4451-809a-570f2517fdf8</t>
  </si>
  <si>
    <t>Pens line</t>
  </si>
  <si>
    <t>21ca5890-bfcb-45fd-a856-61cec366857b</t>
  </si>
  <si>
    <t>Tables skill</t>
  </si>
  <si>
    <t>49c3f1aa-7843-4a2f-a899-9e9345d6891e</t>
  </si>
  <si>
    <t>Phones I</t>
  </si>
  <si>
    <t>8da3cdd8-942d-4888-80cb-485ed0eb566c</t>
  </si>
  <si>
    <t>Phones team</t>
  </si>
  <si>
    <t>a97d218f-425c-463c-a0fd-570241b15702</t>
  </si>
  <si>
    <t>Tables explain</t>
  </si>
  <si>
    <t>8c7d50ee-4408-4b1b-adc3-5185579dc8af</t>
  </si>
  <si>
    <t>Phones it</t>
  </si>
  <si>
    <t>e9cb796a-96c3-44ce-b9a4-93f4feed469b</t>
  </si>
  <si>
    <t>Accessories most</t>
  </si>
  <si>
    <t>27832a4a-e191-4d2d-a54b-2b7e00799dc0</t>
  </si>
  <si>
    <t>Tables feeling</t>
  </si>
  <si>
    <t>c860d2e0-4ca1-4b90-99d9-a1ef360d6d7e</t>
  </si>
  <si>
    <t>4c640d42-06a0-4cf2-a0ce-331478e08022</t>
  </si>
  <si>
    <t>Phones relate</t>
  </si>
  <si>
    <t>25c7ae9b-99d4-4afa-8219-3e88502b05d0</t>
  </si>
  <si>
    <t>Accessories fight</t>
  </si>
  <si>
    <t>2f43f285-d7f3-4b57-b3b2-d533ee15136b</t>
  </si>
  <si>
    <t>Chairs develop</t>
  </si>
  <si>
    <t>e89283f6-98eb-48df-8a36-49c8d003fc74</t>
  </si>
  <si>
    <t>Tables democratic</t>
  </si>
  <si>
    <t>e5bc3f54-f746-44d8-aad1-698d36fa34b3</t>
  </si>
  <si>
    <t>Accessories speak</t>
  </si>
  <si>
    <t>98e90a66-4051-4e24-ace4-413fac7012c4</t>
  </si>
  <si>
    <t>Chairs high</t>
  </si>
  <si>
    <t>8213a96a-6639-488f-83ef-be66c4fe8d5b</t>
  </si>
  <si>
    <t>Tables miss</t>
  </si>
  <si>
    <t>fd5bbfc5-e5ae-4914-93e9-bfb88776a490</t>
  </si>
  <si>
    <t>Paper film</t>
  </si>
  <si>
    <t>0e447a80-19b0-493c-ad9c-7c43827881be</t>
  </si>
  <si>
    <t>d1b1abca-077b-4dad-a7d6-79dde373f211</t>
  </si>
  <si>
    <t>Accessories mind</t>
  </si>
  <si>
    <t>f64ee18f-c86b-4273-80ea-abd04a6efeba</t>
  </si>
  <si>
    <t>Chairs move</t>
  </si>
  <si>
    <t>62b909a6-9aba-469f-882c-161e21df4d0f</t>
  </si>
  <si>
    <t>Binders expert</t>
  </si>
  <si>
    <t>cfd9009d-dcd2-4381-8665-886fc544fdf8</t>
  </si>
  <si>
    <t>Phones expert</t>
  </si>
  <si>
    <t>c0775ef6-639a-475f-b6d9-b08e97ba14a2</t>
  </si>
  <si>
    <t>Paper tell</t>
  </si>
  <si>
    <t>c4729ba2-9809-4c31-8045-503c7be23fce</t>
  </si>
  <si>
    <t>Pens than</t>
  </si>
  <si>
    <t>2145a38a-c5d7-434e-9809-acef69398c66</t>
  </si>
  <si>
    <t>Laptops amount</t>
  </si>
  <si>
    <t>c26425c7-0ade-4b34-98e5-2ecf4d617824</t>
  </si>
  <si>
    <t>Paper return</t>
  </si>
  <si>
    <t>60c02ceb-702e-4b50-9dcd-c3a4f9218369</t>
  </si>
  <si>
    <t>Laptops learn</t>
  </si>
  <si>
    <t>3149328a-afb0-4afc-869e-6055dc17743c</t>
  </si>
  <si>
    <t>Phones center</t>
  </si>
  <si>
    <t>19b32325-e9e9-4825-b679-ca44c49ce6d1</t>
  </si>
  <si>
    <t>Tables over</t>
  </si>
  <si>
    <t>d3826c22-5173-40e9-b3ba-283d13e15b25</t>
  </si>
  <si>
    <t>Chairs law</t>
  </si>
  <si>
    <t>c173ff68-e8b8-4f6d-933d-3560da4fbf95</t>
  </si>
  <si>
    <t>Pens young</t>
  </si>
  <si>
    <t>4ca3a015-23e6-4725-80ec-4ee604029ac7</t>
  </si>
  <si>
    <t>Tables always</t>
  </si>
  <si>
    <t>6f2a3d69-a43b-4c2f-bbf2-2622a3272569</t>
  </si>
  <si>
    <t>Tables region</t>
  </si>
  <si>
    <t>c0dbb3f7-0e10-4dbb-badf-521cb277ab3a</t>
  </si>
  <si>
    <t>Accessories material</t>
  </si>
  <si>
    <t>d1f1f05c-dea3-4039-841e-520d82c3d498</t>
  </si>
  <si>
    <t>Binders throw</t>
  </si>
  <si>
    <t>cddf2e7f-5119-4f86-8e34-39782be35653</t>
  </si>
  <si>
    <t>Tables media</t>
  </si>
  <si>
    <t>de3697d9-265a-4ad9-af20-a53b082df9e2</t>
  </si>
  <si>
    <t>Tables treat</t>
  </si>
  <si>
    <t>fc59e0cc-e713-49f9-b38c-cfed06d71cea</t>
  </si>
  <si>
    <t>Phones pattern</t>
  </si>
  <si>
    <t>f9bfbde7-29df-4f17-9c3c-484db6ff2f92</t>
  </si>
  <si>
    <t>Laptops wind</t>
  </si>
  <si>
    <t>73233044-7dc3-43c8-a676-4e2cc611eade</t>
  </si>
  <si>
    <t>Accessories box</t>
  </si>
  <si>
    <t>2539a924-8c5d-41bd-bf18-00944d7accf5</t>
  </si>
  <si>
    <t>Chairs build</t>
  </si>
  <si>
    <t>580339db-112c-4a2d-a271-9938f0123e8b</t>
  </si>
  <si>
    <t>Bookcases under</t>
  </si>
  <si>
    <t>1b014840-37d9-4f81-acc6-bc5a0daad7fe</t>
  </si>
  <si>
    <t>Accessories expect</t>
  </si>
  <si>
    <t>1838bf06-122d-4f63-8f5b-a329c34358fe</t>
  </si>
  <si>
    <t>Paper need</t>
  </si>
  <si>
    <t>535a44c6-f6fa-41a1-a97b-a037f1cbb31e</t>
  </si>
  <si>
    <t>Pens event</t>
  </si>
  <si>
    <t>25cfd6a6-330b-41dd-abbc-5892991078fc</t>
  </si>
  <si>
    <t>Bookcases if</t>
  </si>
  <si>
    <t>37754a38-d65c-4033-970e-aa439aa72d84</t>
  </si>
  <si>
    <t>Pens understand</t>
  </si>
  <si>
    <t>d878ac7a-4974-4b5c-8540-1fd646790179</t>
  </si>
  <si>
    <t>Chairs whatever</t>
  </si>
  <si>
    <t>71dc91e7-d8e3-4a25-bb27-bd5e2862e62d</t>
  </si>
  <si>
    <t>Accessories until</t>
  </si>
  <si>
    <t>f036e259-e205-4e11-8c5e-663e487b598a</t>
  </si>
  <si>
    <t>Chairs point</t>
  </si>
  <si>
    <t>f17c9d30-db00-41ce-bd88-36fd53dc5a4f</t>
  </si>
  <si>
    <t>Tables participant</t>
  </si>
  <si>
    <t>ef7808cf-e9fc-401d-890e-f134a99f77dd</t>
  </si>
  <si>
    <t>Chairs college</t>
  </si>
  <si>
    <t>79ab3a44-ec44-4474-a539-9d6f5691bcec</t>
  </si>
  <si>
    <t>Paper business</t>
  </si>
  <si>
    <t>e383130c-e2f9-42e5-b80e-843889c65696</t>
  </si>
  <si>
    <t>Pens us</t>
  </si>
  <si>
    <t>fd21e9f5-bbf7-456b-9ce3-c6db9a066be7</t>
  </si>
  <si>
    <t>Accessories anything</t>
  </si>
  <si>
    <t>1cec7251-3363-4e1d-a62a-8410b77a9201</t>
  </si>
  <si>
    <t>Paper recently</t>
  </si>
  <si>
    <t>d5aaa967-698f-46a9-8f11-33dc1404e664</t>
  </si>
  <si>
    <t>1f60fcab-2201-4e9b-811f-e8677bbefb0a</t>
  </si>
  <si>
    <t>Phones camera</t>
  </si>
  <si>
    <t>e3d14c5d-2da8-4433-a1b1-ee86c4670e62</t>
  </si>
  <si>
    <t>Laptops traditional</t>
  </si>
  <si>
    <t>28d0529c-07e1-4df5-8d07-e17df3d1f51f</t>
  </si>
  <si>
    <t>Paper design</t>
  </si>
  <si>
    <t>f0d8f64a-503c-4e61-a82d-111de2e90ee9</t>
  </si>
  <si>
    <t>Bookcases study</t>
  </si>
  <si>
    <t>05a164cc-5e76-4f93-9b1e-1af58b9fc6a4</t>
  </si>
  <si>
    <t>Binders yeah</t>
  </si>
  <si>
    <t>c96e9d81-7492-47e4-8426-5d6f0bb7e2c3</t>
  </si>
  <si>
    <t>Tables director</t>
  </si>
  <si>
    <t>9553979d-04d9-4013-b275-0230ed0c4661</t>
  </si>
  <si>
    <t>Laptops left</t>
  </si>
  <si>
    <t>d480875d-1818-4c2a-bbf0-15ad9cb32a06</t>
  </si>
  <si>
    <t>Tables member</t>
  </si>
  <si>
    <t>0eeda6f9-a6a1-4fcd-b4bd-ed79292bb88c</t>
  </si>
  <si>
    <t>888b7ca5-a61d-45ec-91ab-8dfbf942c75d</t>
  </si>
  <si>
    <t>Tables head</t>
  </si>
  <si>
    <t>344a7946-d40f-4cd5-97ed-59bdddbadb03</t>
  </si>
  <si>
    <t>Laptops break</t>
  </si>
  <si>
    <t>c59a0394-99a7-493d-b98b-da0c4b396ea2</t>
  </si>
  <si>
    <t>Phones drop</t>
  </si>
  <si>
    <t>2c4caca3-a1c4-4eb8-9eb0-8c724f870084</t>
  </si>
  <si>
    <t>Bookcases firm</t>
  </si>
  <si>
    <t>925a0940-3390-4df0-9142-bdc6ae9182b4</t>
  </si>
  <si>
    <t>Laptops lead</t>
  </si>
  <si>
    <t>d2de873d-85fa-4cce-8cf6-c9b7becbbfbb</t>
  </si>
  <si>
    <t>Pens reach</t>
  </si>
  <si>
    <t>f97f65b3-ba77-4f41-817c-025a757e7c09</t>
  </si>
  <si>
    <t>Laptops full</t>
  </si>
  <si>
    <t>b7f42914-13e4-4321-a0ee-4991144992f2</t>
  </si>
  <si>
    <t>Paper care</t>
  </si>
  <si>
    <t>c79ccbee-e215-476f-a61f-9f4189d755ce</t>
  </si>
  <si>
    <t>Binders red</t>
  </si>
  <si>
    <t>8b307394-6959-4e5b-bb24-28d30c263212</t>
  </si>
  <si>
    <t>Binders gas</t>
  </si>
  <si>
    <t>f5ee9308-a9bb-4018-97ca-213496056433</t>
  </si>
  <si>
    <t>Bookcases especially</t>
  </si>
  <si>
    <t>f2277d47-7d81-4816-abb3-2d844b52103d</t>
  </si>
  <si>
    <t>Chairs until</t>
  </si>
  <si>
    <t>b1f83930-b569-4999-8ad0-9bf6e80eeaed</t>
  </si>
  <si>
    <t>Phones term</t>
  </si>
  <si>
    <t>3ef228b9-80a2-4246-acef-23ab564bca4c</t>
  </si>
  <si>
    <t>Tables large</t>
  </si>
  <si>
    <t>37aa36ac-eced-466b-bc49-3a09cf5d3ba6</t>
  </si>
  <si>
    <t>Phones value</t>
  </si>
  <si>
    <t>cbd0fca9-7163-49ea-a91e-aef0038625ba</t>
  </si>
  <si>
    <t>Binders still</t>
  </si>
  <si>
    <t>6dfd2fc2-006b-4c96-b612-3de4e240bc05</t>
  </si>
  <si>
    <t>Bookcases audience</t>
  </si>
  <si>
    <t>f1a8042a-a612-4beb-a770-e40b7fde839a</t>
  </si>
  <si>
    <t>Bookcases call</t>
  </si>
  <si>
    <t>9dc21d45-a103-438d-b246-8c70804127e7</t>
  </si>
  <si>
    <t>55b96210-0218-4afe-95d5-3ccf68c309c1</t>
  </si>
  <si>
    <t>Tables piece</t>
  </si>
  <si>
    <t>56fa6ef5-6bf7-4e4a-bf19-82487d533928</t>
  </si>
  <si>
    <t>Chairs brother</t>
  </si>
  <si>
    <t>da432d85-c358-47d4-9182-46b9b85a0ff7</t>
  </si>
  <si>
    <t>Chairs teacher</t>
  </si>
  <si>
    <t>43f4eb95-5548-4581-9841-368479e69388</t>
  </si>
  <si>
    <t>Tables whole</t>
  </si>
  <si>
    <t>119ebdc0-9d1b-4a07-b891-6a82ef55d01b</t>
  </si>
  <si>
    <t>cdf3abdb-9d21-4e3f-a9ec-1b0e2303ecce</t>
  </si>
  <si>
    <t>Binders finish</t>
  </si>
  <si>
    <t>986d3810-3564-4604-a1f1-74d9ef4b745d</t>
  </si>
  <si>
    <t>Binders light</t>
  </si>
  <si>
    <t>6b18990c-52c7-40c0-a8e6-ee3d34f8bc36</t>
  </si>
  <si>
    <t>Binders eight</t>
  </si>
  <si>
    <t>1541f03e-589a-4ebc-b3c2-0fcaecd3749e</t>
  </si>
  <si>
    <t>Bookcases economy</t>
  </si>
  <si>
    <t>98f7abb9-e3cf-4504-a170-fc0ba81292cb</t>
  </si>
  <si>
    <t>Phones total</t>
  </si>
  <si>
    <t>9b1c7e03-f072-48f5-943a-c446452a14bc</t>
  </si>
  <si>
    <t>Laptops establish</t>
  </si>
  <si>
    <t>ca563c40-9770-4298-a4e7-f3a5c166611e</t>
  </si>
  <si>
    <t>Paper test</t>
  </si>
  <si>
    <t>c39134d1-bf8c-4c69-9054-72dcc05618d9</t>
  </si>
  <si>
    <t>Accessories him</t>
  </si>
  <si>
    <t>25e7a8ef-cd87-4d3a-a6ab-fa4ca0a612ee</t>
  </si>
  <si>
    <t>6c225293-9e94-4170-9ee1-652315c0f515</t>
  </si>
  <si>
    <t>050c17e7-0f18-4f4d-ad33-22dab5520958</t>
  </si>
  <si>
    <t>9e0ce0f3-c513-43ac-8b4a-cf517f0f0dcd</t>
  </si>
  <si>
    <t>Laptops explain</t>
  </si>
  <si>
    <t>35acc5d0-cd06-45a4-ba70-70cd6837a5dd</t>
  </si>
  <si>
    <t>8816ec64-9f34-4621-99bb-77a7e0d29a20</t>
  </si>
  <si>
    <t>Binders road</t>
  </si>
  <si>
    <t>5067ae81-a36c-4076-acd9-e7d8e3a52f9f</t>
  </si>
  <si>
    <t>Laptops remember</t>
  </si>
  <si>
    <t>c7ed45e2-bd13-4c1a-9d83-a85f99c4cc4a</t>
  </si>
  <si>
    <t>Phones usually</t>
  </si>
  <si>
    <t>4c2dacf5-cb95-42f6-8f11-6ada989af648</t>
  </si>
  <si>
    <t>Tables test</t>
  </si>
  <si>
    <t>29999691-0918-402e-abe5-81e629d8164f</t>
  </si>
  <si>
    <t>Accessories teach</t>
  </si>
  <si>
    <t>b96c740d-13e1-43b7-8fff-4e90135097f8</t>
  </si>
  <si>
    <t>Chairs involve</t>
  </si>
  <si>
    <t>065ee20e-0244-4adb-bf01-de317df7d196</t>
  </si>
  <si>
    <t>Paper force</t>
  </si>
  <si>
    <t>de6fd4b4-83d2-4aed-a49d-c12edac4471f</t>
  </si>
  <si>
    <t>Tables or</t>
  </si>
  <si>
    <t>8d2d74c2-a789-47ef-ad94-e53cdae9cc73</t>
  </si>
  <si>
    <t>Tables deal</t>
  </si>
  <si>
    <t>bcffdff2-d55b-48e3-b1da-b78226636d73</t>
  </si>
  <si>
    <t>Tables official</t>
  </si>
  <si>
    <t>bacf84f0-b12a-405e-a987-fec92b9accfe</t>
  </si>
  <si>
    <t>Binders market</t>
  </si>
  <si>
    <t>161963fd-5ba7-4601-b5f8-8effbad839b4</t>
  </si>
  <si>
    <t>Accessories use</t>
  </si>
  <si>
    <t>87fd29cf-9904-4c11-97e5-9916b17d69a9</t>
  </si>
  <si>
    <t>Pens already</t>
  </si>
  <si>
    <t>17a08403-8a29-4717-8edd-e4287fa0feb6</t>
  </si>
  <si>
    <t>Tables team</t>
  </si>
  <si>
    <t>98d56f68-a1a6-4111-8d67-e15d7994606f</t>
  </si>
  <si>
    <t>Binders ahead</t>
  </si>
  <si>
    <t>f64bf568-5a9a-471f-a94f-0aa072f54134</t>
  </si>
  <si>
    <t>Binders social</t>
  </si>
  <si>
    <t>e95fc9cc-dd8a-463d-aecd-bce67901bc5a</t>
  </si>
  <si>
    <t>Laptops between</t>
  </si>
  <si>
    <t>68fefbd9-0562-4abb-a972-eee574c331ff</t>
  </si>
  <si>
    <t>Chairs edge</t>
  </si>
  <si>
    <t>3901970d-befb-469f-88e7-8131ec249cee</t>
  </si>
  <si>
    <t>Pens perform</t>
  </si>
  <si>
    <t>d7c8c6bf-16bb-486d-9a6c-2f20463bc606</t>
  </si>
  <si>
    <t>Phones official</t>
  </si>
  <si>
    <t>9647208f-27d4-44a2-ac44-aa626d16859e</t>
  </si>
  <si>
    <t>Pens consider</t>
  </si>
  <si>
    <t>2ec8abe8-0620-468a-8143-ede9a4c333e8</t>
  </si>
  <si>
    <t>Chairs stand</t>
  </si>
  <si>
    <t>53c646a6-7e4b-4029-9fb3-8bd361bfe190</t>
  </si>
  <si>
    <t>Phones subject</t>
  </si>
  <si>
    <t>71509388-c75d-4543-8cf8-a305d1f2083d</t>
  </si>
  <si>
    <t>Binders season</t>
  </si>
  <si>
    <t>847a4927-9a09-42b9-a40b-4b9cae67e917</t>
  </si>
  <si>
    <t>Laptops large</t>
  </si>
  <si>
    <t>90f0335b-867e-4345-82f9-142ed1f9568d</t>
  </si>
  <si>
    <t>Binders seat</t>
  </si>
  <si>
    <t>d4c553d2-6360-4637-b16a-8f0c9250d079</t>
  </si>
  <si>
    <t>Accessories pretty</t>
  </si>
  <si>
    <t>18d97030-38b4-405a-b8b9-ea0653b2f74b</t>
  </si>
  <si>
    <t>Accessories figure</t>
  </si>
  <si>
    <t>ef8b332e-c9ce-4024-99f1-81994d9ba117</t>
  </si>
  <si>
    <t>b280bb51-549f-43a8-919c-10bf5a43d304</t>
  </si>
  <si>
    <t>Phones hour</t>
  </si>
  <si>
    <t>f3ac1c50-0fc9-41a9-9bfc-84652c2a3e18</t>
  </si>
  <si>
    <t>Phones operation</t>
  </si>
  <si>
    <t>20ca1227-d53b-40c2-b62d-6a6f2d7a47e9</t>
  </si>
  <si>
    <t>Paper study</t>
  </si>
  <si>
    <t>aed1e76e-285b-44c8-a73b-7f768b656bf9</t>
  </si>
  <si>
    <t>Accessories continue</t>
  </si>
  <si>
    <t>3cf5ad47-db2b-4b3a-8810-a72fcc3a420d</t>
  </si>
  <si>
    <t>Bookcases home</t>
  </si>
  <si>
    <t>e89624f2-bc83-4365-87a6-9ee33ae4264a</t>
  </si>
  <si>
    <t>Accessories choice</t>
  </si>
  <si>
    <t>aaaada65-db2f-4dab-8183-cc7ec19b1c8f</t>
  </si>
  <si>
    <t>Pens class</t>
  </si>
  <si>
    <t>87df1ff1-fb43-4bbf-b4e5-9163d6f778bc</t>
  </si>
  <si>
    <t>Not a Date</t>
  </si>
  <si>
    <t>5be5c9f3-f21c-4e59-aa83-ad33fe470730</t>
  </si>
  <si>
    <t>Bookcases prepare</t>
  </si>
  <si>
    <t>70550b18-e8ec-4580-85b9-6605c2f31eca</t>
  </si>
  <si>
    <t>Phones compare</t>
  </si>
  <si>
    <t>ed64e362-1987-4261-b79a-165f0d26d273</t>
  </si>
  <si>
    <t>Laptops take</t>
  </si>
  <si>
    <t>dd5edbb6-22f9-419e-b717-0fa6753731e2</t>
  </si>
  <si>
    <t>Bookcases everybody</t>
  </si>
  <si>
    <t>4fee3f9c-a708-4a8c-a0e7-7227468195d4</t>
  </si>
  <si>
    <t>Accessories any</t>
  </si>
  <si>
    <t>28c11797-0cff-4543-a9a8-5686def340c9</t>
  </si>
  <si>
    <t>Tables letter</t>
  </si>
  <si>
    <t>ea9a732b-3967-4673-a44a-3757105dbd01</t>
  </si>
  <si>
    <t>Pens various</t>
  </si>
  <si>
    <t>4fd9d75d-500f-454d-9997-a5c867152c72</t>
  </si>
  <si>
    <t>Chairs speak</t>
  </si>
  <si>
    <t>e5f8d956-025c-45b6-9d0a-0644f87bda95</t>
  </si>
  <si>
    <t>Pens heavy</t>
  </si>
  <si>
    <t>dd70da87-72d1-4bd8-ab6b-7fea5df3cfd6</t>
  </si>
  <si>
    <t>Accessories manager</t>
  </si>
  <si>
    <t>1da84474-8a3b-4b88-8e46-2888a1a951a7</t>
  </si>
  <si>
    <t>Bookcases should</t>
  </si>
  <si>
    <t>95115ed8-4fc4-4668-8679-fd5867debd04</t>
  </si>
  <si>
    <t>Pens beautiful</t>
  </si>
  <si>
    <t>5beb9818-d4bd-4a64-9215-d12957d78fd9</t>
  </si>
  <si>
    <t>Paper hot</t>
  </si>
  <si>
    <t>4f23b63f-1a29-4886-b97b-8a9baa8fec59</t>
  </si>
  <si>
    <t>Chairs prevent</t>
  </si>
  <si>
    <t>24cc6eac-a139-4339-81c1-5dcb80b5714a</t>
  </si>
  <si>
    <t>Pens foreign</t>
  </si>
  <si>
    <t>31343591-76b3-41b7-9eef-007e6f7d2119</t>
  </si>
  <si>
    <t>Bookcases idea</t>
  </si>
  <si>
    <t>112012fd-0987-4e0d-867e-4b19fc852959</t>
  </si>
  <si>
    <t>Chairs science</t>
  </si>
  <si>
    <t>035b2821-68cc-4c45-a645-c74512716f8e</t>
  </si>
  <si>
    <t>Chairs cut</t>
  </si>
  <si>
    <t>5e686904-c893-4a45-ae82-d0f2ccdbbd55</t>
  </si>
  <si>
    <t>Binders leader</t>
  </si>
  <si>
    <t>517154fb-9d6e-47ec-9413-c63b513228da</t>
  </si>
  <si>
    <t>Tables join</t>
  </si>
  <si>
    <t>c6006c69-5fb2-4112-8c7c-b4866387c570</t>
  </si>
  <si>
    <t>Phones consumer</t>
  </si>
  <si>
    <t>4343ea67-d3d6-4523-8e8e-78c40b044a37</t>
  </si>
  <si>
    <t>Pens street</t>
  </si>
  <si>
    <t>9ab05252-c829-4728-a30d-71f1daccb402</t>
  </si>
  <si>
    <t>Tables sister</t>
  </si>
  <si>
    <t>79f7154d-a041-41a5-8c1b-c3c9a430c422</t>
  </si>
  <si>
    <t>Phones strategy</t>
  </si>
  <si>
    <t>0074aa30-2274-408e-b4d3-12d7feaa0408</t>
  </si>
  <si>
    <t>Phones quite</t>
  </si>
  <si>
    <t>840283fa-c815-4070-b10d-ca8721eb190b</t>
  </si>
  <si>
    <t>Accessories bed</t>
  </si>
  <si>
    <t>2a2f0430-96f1-4d06-9cae-f7470cef974c</t>
  </si>
  <si>
    <t>Accessories training</t>
  </si>
  <si>
    <t>3767eadb-925c-43d8-8cbb-b32bfb82e80b</t>
  </si>
  <si>
    <t>c0bf24d3-b220-4b01-9580-f17d084ce39f</t>
  </si>
  <si>
    <t>Chairs military</t>
  </si>
  <si>
    <t>21a7b9f9-b741-434c-a3fc-3ebb06e40d9c</t>
  </si>
  <si>
    <t>Tables situation</t>
  </si>
  <si>
    <t>2bfc6aea-4329-43ff-bb21-74fea0ed1c24</t>
  </si>
  <si>
    <t>Paper be</t>
  </si>
  <si>
    <t>075c2103-effc-4829-b96d-8c7dd9e47e88</t>
  </si>
  <si>
    <t>c2c472f6-c0e9-43b5-9d2c-bc1fa868f589</t>
  </si>
  <si>
    <t>ff878912-595b-4dd4-965c-9ecee1dbfe18</t>
  </si>
  <si>
    <t>Bookcases team</t>
  </si>
  <si>
    <t>9fa97b13-8d41-4ed1-a70b-c3c3b3f2114a</t>
  </si>
  <si>
    <t>Binders point</t>
  </si>
  <si>
    <t>85043ea5-0ef9-444d-b683-dfe73f80090a</t>
  </si>
  <si>
    <t>Chairs home</t>
  </si>
  <si>
    <t>ec63e0e6-dfad-4699-9a41-6f4b7a3c871a</t>
  </si>
  <si>
    <t>e517894b-8996-46be-9dfa-b2689211efed</t>
  </si>
  <si>
    <t>Pens middle</t>
  </si>
  <si>
    <t>bdaf9288-5cc6-40ad-aae9-51872f36887c</t>
  </si>
  <si>
    <t>Chairs Republican</t>
  </si>
  <si>
    <t>402e6c6e-08df-4089-be54-4d6ca6be2686</t>
  </si>
  <si>
    <t>3b0c7c5b-76eb-48ba-a754-be8e91213381</t>
  </si>
  <si>
    <t>Paper as</t>
  </si>
  <si>
    <t>db708a2e-14c2-41fa-b740-5c550f6f5a24</t>
  </si>
  <si>
    <t>Binders enjoy</t>
  </si>
  <si>
    <t>1086dbab-dd50-4f9e-a15b-4ac8615b461d</t>
  </si>
  <si>
    <t>Chairs Mrs</t>
  </si>
  <si>
    <t>e99b6066-ad30-450d-b2dc-cba1e9314eb0</t>
  </si>
  <si>
    <t>Pens cover</t>
  </si>
  <si>
    <t>a59addfb-d30b-4543-bee0-cf685bb50d07</t>
  </si>
  <si>
    <t>Chairs try</t>
  </si>
  <si>
    <t>0a199eea-f888-4855-83d3-88d8a6d1ec06</t>
  </si>
  <si>
    <t>Bookcases thing</t>
  </si>
  <si>
    <t>450e1727-7b3d-46e9-ac90-1ae0d03b864f</t>
  </si>
  <si>
    <t>Binders marriage</t>
  </si>
  <si>
    <t>b23787ec-e095-4e7b-a4df-bd90f8008390</t>
  </si>
  <si>
    <t>Paper push</t>
  </si>
  <si>
    <t>59f261fb-e5d0-4bbd-ad28-153ac622dbd9</t>
  </si>
  <si>
    <t>Laptops serve</t>
  </si>
  <si>
    <t>c0ff989a-aca7-4b79-82fe-804d91ecea5b</t>
  </si>
  <si>
    <t>Phones car</t>
  </si>
  <si>
    <t>d14fc6ab-667d-45bc-a82b-b7409da6c7fa</t>
  </si>
  <si>
    <t>Paper reduce</t>
  </si>
  <si>
    <t>0ec47798-6dfc-4be2-95bc-0931ef9e510d</t>
  </si>
  <si>
    <t>Accessories agreement</t>
  </si>
  <si>
    <t>2f083cdf-8a57-4678-9a4c-98918b177465</t>
  </si>
  <si>
    <t>Tables option</t>
  </si>
  <si>
    <t>ceede140-7509-4f8c-a137-8fdc29a47865</t>
  </si>
  <si>
    <t>Phones lose</t>
  </si>
  <si>
    <t>fe0116a1-4a8f-4704-b6a0-ecb676b21704</t>
  </si>
  <si>
    <t>Bookcases actually</t>
  </si>
  <si>
    <t>f3f78d36-f16c-471e-a358-800074ab076c</t>
  </si>
  <si>
    <t>Pens activity</t>
  </si>
  <si>
    <t>0d3e0ad1-af58-408a-89a4-c4ff0fc389d2</t>
  </si>
  <si>
    <t>e6d0633c-d09d-40bd-bc01-6d20d0d5a156</t>
  </si>
  <si>
    <t>Laptops inside</t>
  </si>
  <si>
    <t>24f60312-6f89-457e-88ae-8097075ccbfc</t>
  </si>
  <si>
    <t>Pens agency</t>
  </si>
  <si>
    <t>ae1d9cb9-6f3b-4c9f-b815-a091bc4b378a</t>
  </si>
  <si>
    <t>Binders already</t>
  </si>
  <si>
    <t>6e54e83d-9dd6-4d67-8535-6f667b1df098</t>
  </si>
  <si>
    <t>Chairs rise</t>
  </si>
  <si>
    <t>0dfda96c-7dc5-400e-b30a-59b2cb719ac9</t>
  </si>
  <si>
    <t>82fe161e-11fd-4ea7-bcd6-8f2ab14484d7</t>
  </si>
  <si>
    <t>82958f60-880f-4d9d-89b8-c3fbfa80404b</t>
  </si>
  <si>
    <t>Accessories board</t>
  </si>
  <si>
    <t>8ab4288a-17a9-46b6-a318-be2e690b88f4</t>
  </si>
  <si>
    <t>Binders low</t>
  </si>
  <si>
    <t>cfc88c84-8c3a-4eb1-a04a-714ea307fad0</t>
  </si>
  <si>
    <t>Chairs month</t>
  </si>
  <si>
    <t>9c294f48-3078-4146-9f2f-4fd8acd53ea1</t>
  </si>
  <si>
    <t>Accessories arm</t>
  </si>
  <si>
    <t>835b5ceb-95fa-4b00-b841-9d64b7d20162</t>
  </si>
  <si>
    <t>Pens environment</t>
  </si>
  <si>
    <t>01e4e9c7-6fbf-44ab-beec-22eed3729407</t>
  </si>
  <si>
    <t>Bookcases yet</t>
  </si>
  <si>
    <t>3f977e5a-6863-4a7d-82fe-43b3a0b4ba4c</t>
  </si>
  <si>
    <t>Bookcases force</t>
  </si>
  <si>
    <t>ef2845d7-827a-441a-bab6-6d123450d496</t>
  </si>
  <si>
    <t>Accessories drug</t>
  </si>
  <si>
    <t>f5ecf3ce-705b-4db8-bce0-ae9107ba4c5c</t>
  </si>
  <si>
    <t>Paper heart</t>
  </si>
  <si>
    <t>137f9781-8113-491a-abdb-a2b274e36f95</t>
  </si>
  <si>
    <t>9d1821c9-9562-44cf-9ad6-0846f493fb43</t>
  </si>
  <si>
    <t>Paper role</t>
  </si>
  <si>
    <t>6d6fdc9b-f815-4bf0-ac35-540ecea60af8</t>
  </si>
  <si>
    <t>61810b6e-610e-4e5d-82f1-c1e5229ac428</t>
  </si>
  <si>
    <t>Tables your</t>
  </si>
  <si>
    <t>21f31fc2-43f1-4fee-b45f-cfb48b573771</t>
  </si>
  <si>
    <t>Phones buy</t>
  </si>
  <si>
    <t>a8af056d-4361-41c5-9aaa-97043994b83b</t>
  </si>
  <si>
    <t>Accessories law</t>
  </si>
  <si>
    <t>a66feee1-6fd5-4c0e-8eee-c6d30efb0cc2</t>
  </si>
  <si>
    <t>Binders away</t>
  </si>
  <si>
    <t>f3b97696-e41e-4c7d-956b-e936c3949a17</t>
  </si>
  <si>
    <t>b88f2beb-7743-4280-a19b-edc556955e61</t>
  </si>
  <si>
    <t>Chairs treat</t>
  </si>
  <si>
    <t>079603f8-1653-4d3c-bb88-ec0e36c3d26a</t>
  </si>
  <si>
    <t>Bookcases well</t>
  </si>
  <si>
    <t>b0e8b41e-0759-4360-8b3b-fbf1d0547644</t>
  </si>
  <si>
    <t>Chairs worry</t>
  </si>
  <si>
    <t>a6f63b96-90bc-4150-8080-28bebd37ff25</t>
  </si>
  <si>
    <t>Tables total</t>
  </si>
  <si>
    <t>f61de5e4-9459-410e-9880-f4ce247cd8a8</t>
  </si>
  <si>
    <t>Bookcases probably</t>
  </si>
  <si>
    <t>e902c8ee-0529-4444-a2c0-3bbd460040fe</t>
  </si>
  <si>
    <t>Accessories including</t>
  </si>
  <si>
    <t>9a6f7be2-d3e6-4694-8230-88b7dcacc6a0</t>
  </si>
  <si>
    <t>Pens rock</t>
  </si>
  <si>
    <t>1c506557-bfa4-41d6-9dc6-d39a5ce9faa7</t>
  </si>
  <si>
    <t>Bookcases dog</t>
  </si>
  <si>
    <t>5819e7dd-6bb0-430c-87f5-6be6dd68907c</t>
  </si>
  <si>
    <t>Laptops help</t>
  </si>
  <si>
    <t>5ef06518-8940-464a-a319-6e2d0542b74d</t>
  </si>
  <si>
    <t>Laptops if</t>
  </si>
  <si>
    <t>571be476-0ade-436c-a8cf-73e0fe26278b</t>
  </si>
  <si>
    <t>24bf562c-5e49-4de0-984d-5c17a6afda20</t>
  </si>
  <si>
    <t>Tables next</t>
  </si>
  <si>
    <t>1e3efbb9-7f4a-420c-9f16-a54775bda270</t>
  </si>
  <si>
    <t>2725cd44-9087-49fe-939e-48a26e7fc9eb</t>
  </si>
  <si>
    <t>Paper Mr</t>
  </si>
  <si>
    <t>a4eee917-ac4d-488f-b20f-ff3ad2adb052</t>
  </si>
  <si>
    <t>Tables rise</t>
  </si>
  <si>
    <t>77224322-bdfc-4f06-9282-c219462cfc03</t>
  </si>
  <si>
    <t>b9c18773-b746-43e4-81a0-0ab7c62eb05e</t>
  </si>
  <si>
    <t>Bookcases billion</t>
  </si>
  <si>
    <t>e251693a-b7a2-476c-ab90-32fff66d02b7</t>
  </si>
  <si>
    <t>Accessories mention</t>
  </si>
  <si>
    <t>9cded2fd-71e4-4f17-924f-02a8a0868b8c</t>
  </si>
  <si>
    <t>Binders public</t>
  </si>
  <si>
    <t>cf504777-ec2c-4488-87af-990e43f61360</t>
  </si>
  <si>
    <t>Pens against</t>
  </si>
  <si>
    <t>a9e7143f-ccff-4982-8751-c92f1adeb2cf</t>
  </si>
  <si>
    <t>Chairs same</t>
  </si>
  <si>
    <t>70a000ae-3d44-402b-9f9a-5827775cf7ca</t>
  </si>
  <si>
    <t>Tables process</t>
  </si>
  <si>
    <t>90faf4c2-5a68-4a00-acf6-b4fc25447483</t>
  </si>
  <si>
    <t>Binders language</t>
  </si>
  <si>
    <t>3ae34ef0-4145-41ad-8003-b175286c4ab3</t>
  </si>
  <si>
    <t>Tables prepare</t>
  </si>
  <si>
    <t>319b8275-923a-4699-b824-903f7e5014ca</t>
  </si>
  <si>
    <t>Laptops blood</t>
  </si>
  <si>
    <t>754a58b9-e499-48d8-a8ba-4c1b1f8ba98c</t>
  </si>
  <si>
    <t>Chairs state</t>
  </si>
  <si>
    <t>221f51f1-0fe3-4cf0-8d6a-386a2afa0522</t>
  </si>
  <si>
    <t>Phones international</t>
  </si>
  <si>
    <t>b9950e51-7c40-48e9-88ec-61d4480191b4</t>
  </si>
  <si>
    <t>Phones scientist</t>
  </si>
  <si>
    <t>a3050829-3570-4511-aa8a-b3ecece434be</t>
  </si>
  <si>
    <t>Phones others</t>
  </si>
  <si>
    <t>895cbf99-c4eb-4c65-a68c-b47abe186b63</t>
  </si>
  <si>
    <t>4f2dc24f-0012-4833-8a73-286e5fe38420</t>
  </si>
  <si>
    <t>Paper head</t>
  </si>
  <si>
    <t>5e876941-10cf-44b8-a0b8-d3ff29047950</t>
  </si>
  <si>
    <t>Chairs activity</t>
  </si>
  <si>
    <t>0524d1c8-7d1b-4dfd-9726-c59f195284e7</t>
  </si>
  <si>
    <t>Accessories finish</t>
  </si>
  <si>
    <t>ffb83077-a157-4f56-8481-5a6ebfdd2631</t>
  </si>
  <si>
    <t>Accessories while</t>
  </si>
  <si>
    <t>88aa9378-6db6-4010-902c-906e9512bb84</t>
  </si>
  <si>
    <t>Paper draw</t>
  </si>
  <si>
    <t>47b22089-7b80-4837-b2cc-65f5e1e35981</t>
  </si>
  <si>
    <t>Tables prevent</t>
  </si>
  <si>
    <t>e44c5630-fa16-435d-bbce-c4710fd4ed95</t>
  </si>
  <si>
    <t>Laptops health</t>
  </si>
  <si>
    <t>f05799ef-9e5c-49a0-9b41-3e9e1b6ac4b9</t>
  </si>
  <si>
    <t>Laptops service</t>
  </si>
  <si>
    <t>a56cbff5-9222-43e8-87d2-beaf51f11548</t>
  </si>
  <si>
    <t>Tables entire</t>
  </si>
  <si>
    <t>60411c46-04d7-475f-be2e-6ccafb656678</t>
  </si>
  <si>
    <t>d386fe23-a17a-4cd8-886c-37f97591bc9a</t>
  </si>
  <si>
    <t>Laptops authority</t>
  </si>
  <si>
    <t>35050684-1cdd-41b3-9e76-e3423cca8774</t>
  </si>
  <si>
    <t>Laptops best</t>
  </si>
  <si>
    <t>8c9b690e-ccbc-4c61-a18c-2b7350f28329</t>
  </si>
  <si>
    <t>Bookcases generation</t>
  </si>
  <si>
    <t>7d6683b6-b6e0-464a-a61b-832b570ced59</t>
  </si>
  <si>
    <t>Bookcases movement</t>
  </si>
  <si>
    <t>22ac0a62-0f60-4429-aaf6-28c7eb67d5e1</t>
  </si>
  <si>
    <t>Chairs help</t>
  </si>
  <si>
    <t>cfe3cfaf-2073-467e-91d6-d049307522e0</t>
  </si>
  <si>
    <t>Pens believe</t>
  </si>
  <si>
    <t>edafb5fb-2ba6-4d86-9051-36eec74d3f6a</t>
  </si>
  <si>
    <t>Laptops run</t>
  </si>
  <si>
    <t>42c473ab-a781-473f-9183-65b45e1d3c84</t>
  </si>
  <si>
    <t>Accessories true</t>
  </si>
  <si>
    <t>7d79ba0a-3e89-4e48-aef0-aa4a8b8e63d1</t>
  </si>
  <si>
    <t>Laptops someone</t>
  </si>
  <si>
    <t>a85fea39-1f03-48a1-bffa-546d1bd22af8</t>
  </si>
  <si>
    <t>815bef6e-a8d3-45eb-a1b6-d24ba50c54da</t>
  </si>
  <si>
    <t>Accessories local</t>
  </si>
  <si>
    <t>5e94c964-e8d6-4aa9-8de9-530f2c122928</t>
  </si>
  <si>
    <t>Pens claim</t>
  </si>
  <si>
    <t>ed67501a-360c-41ba-9dad-dd9c09f3dc6e</t>
  </si>
  <si>
    <t>Chairs test</t>
  </si>
  <si>
    <t>b655aeae-7c01-4c1a-8bc1-7434fc519b11</t>
  </si>
  <si>
    <t>Pens rather</t>
  </si>
  <si>
    <t>4cee6cfa-5da8-4ab2-9523-f2d0ffec0b3a</t>
  </si>
  <si>
    <t>Paper social</t>
  </si>
  <si>
    <t>ca057ecb-03be-4309-a9c6-df1d37d0a642</t>
  </si>
  <si>
    <t>Binders manage</t>
  </si>
  <si>
    <t>a6504398-c218-44e1-9bc0-b4c54253de0a</t>
  </si>
  <si>
    <t>Phones large</t>
  </si>
  <si>
    <t>7536e259-a290-4659-ac78-1a45cd800ecb</t>
  </si>
  <si>
    <t>Binders senior</t>
  </si>
  <si>
    <t>9db03257-15a3-4fc5-8c11-c76329d337bd</t>
  </si>
  <si>
    <t>Pens buy</t>
  </si>
  <si>
    <t>49698610-fc79-4eb9-b26c-7b9168973243</t>
  </si>
  <si>
    <t>Pens pass</t>
  </si>
  <si>
    <t>94e845f4-b3d4-440c-a9f8-ed41f4dfdcc4</t>
  </si>
  <si>
    <t>Binders effort</t>
  </si>
  <si>
    <t>9a47d7f0-3f91-4283-9884-2eb4da8d3a12</t>
  </si>
  <si>
    <t>Paper age</t>
  </si>
  <si>
    <t>26dcefcb-6d70-4b0e-a48c-d7b43d246cbd</t>
  </si>
  <si>
    <t>Bookcases how</t>
  </si>
  <si>
    <t>855f359a-549f-4f45-b291-108632616861</t>
  </si>
  <si>
    <t>Bookcases executive</t>
  </si>
  <si>
    <t>298117eb-d9df-4bfa-96c4-9a07ab4594e9</t>
  </si>
  <si>
    <t>Phones blue</t>
  </si>
  <si>
    <t>3aab52e9-e8e0-476d-8652-a376ac4ed59d</t>
  </si>
  <si>
    <t>Laptops exist</t>
  </si>
  <si>
    <t>ece75240-c353-42f6-9f9f-35b087c63781</t>
  </si>
  <si>
    <t>Tables population</t>
  </si>
  <si>
    <t>dc88741c-0a4b-48ab-856d-cdecca569914</t>
  </si>
  <si>
    <t>e785b02c-3e08-4113-8cb6-2381909f7f82</t>
  </si>
  <si>
    <t>Pens lot</t>
  </si>
  <si>
    <t>daa4c3b8-10d6-4da6-b3dd-e03540d393bc</t>
  </si>
  <si>
    <t>Tables several</t>
  </si>
  <si>
    <t>3bdc5fad-5fab-4165-8549-7d31e8ad5b51</t>
  </si>
  <si>
    <t>Chairs significant</t>
  </si>
  <si>
    <t>bc0215dd-59d8-41a2-a054-2ebdd648e584</t>
  </si>
  <si>
    <t>Binders concern</t>
  </si>
  <si>
    <t>0ab095e9-e1b3-4dc7-adc3-99b8f8c0ccc9</t>
  </si>
  <si>
    <t>Accessories with</t>
  </si>
  <si>
    <t>7bc8b23c-6ac6-4316-b950-8f88a6aee6ad</t>
  </si>
  <si>
    <t>Bookcases use</t>
  </si>
  <si>
    <t>2ca702a9-7a49-4e7c-bc28-7b5709c2eb14</t>
  </si>
  <si>
    <t>Tables involve</t>
  </si>
  <si>
    <t>86976935-e7ea-4e58-acda-69de5138f08f</t>
  </si>
  <si>
    <t>Paper deep</t>
  </si>
  <si>
    <t>2591d93d-c5b0-4940-af0e-f0b1f9329669</t>
  </si>
  <si>
    <t>Tables number</t>
  </si>
  <si>
    <t>8705ab66-0caa-4673-9461-e54fa57603ef</t>
  </si>
  <si>
    <t>Accessories evidence</t>
  </si>
  <si>
    <t>1b588a4c-366d-4d13-b910-5872db32976a</t>
  </si>
  <si>
    <t>Tables Mrs</t>
  </si>
  <si>
    <t>f68c0300-d376-4080-a806-e86d3327be11</t>
  </si>
  <si>
    <t>Binders stay</t>
  </si>
  <si>
    <t>f2b1408a-278b-49bf-9e49-e5df881a252c</t>
  </si>
  <si>
    <t>Pens summer</t>
  </si>
  <si>
    <t>99f4a7ea-a04a-4a1c-a65c-9e0b9295867c</t>
  </si>
  <si>
    <t>Chairs east</t>
  </si>
  <si>
    <t>276e0da4-0ca7-487a-9108-4be432c7a396</t>
  </si>
  <si>
    <t>Laptops person</t>
  </si>
  <si>
    <t>87906424-0fac-4452-bb7c-152c8073b19a</t>
  </si>
  <si>
    <t>Laptops child</t>
  </si>
  <si>
    <t>cca0b10e-1029-4ade-9027-d39bc2c63df7</t>
  </si>
  <si>
    <t>Chairs year</t>
  </si>
  <si>
    <t>cc1bbaba-fac4-466b-923f-2ae896dd87d8</t>
  </si>
  <si>
    <t>Bookcases explain</t>
  </si>
  <si>
    <t>85f499ec-facc-4c0a-8ee0-d3bc395b111a</t>
  </si>
  <si>
    <t>346746da-443b-455d-95ce-2aac286de35f</t>
  </si>
  <si>
    <t>Chairs music</t>
  </si>
  <si>
    <t>4aa06802-ff64-4176-9226-01dc31c89f18</t>
  </si>
  <si>
    <t>Phones nice</t>
  </si>
  <si>
    <t>59d21c1f-9044-4549-bd53-494886106754</t>
  </si>
  <si>
    <t>Laptops two</t>
  </si>
  <si>
    <t>311ff53d-306a-4315-9c97-a1ae598a81e2</t>
  </si>
  <si>
    <t>Bookcases third</t>
  </si>
  <si>
    <t>5370bbd9-bb9b-4a57-bbba-a8be8d5dbb78</t>
  </si>
  <si>
    <t>Accessories foreign</t>
  </si>
  <si>
    <t>0dbaea8d-70c6-4bfe-941b-c97e6d9c2b07</t>
  </si>
  <si>
    <t>Laptops dog</t>
  </si>
  <si>
    <t>b470683e-e230-4536-b73e-b6ea0fb7303d</t>
  </si>
  <si>
    <t>Tables second</t>
  </si>
  <si>
    <t>faf8aa6e-e740-45a3-b54a-4739ea846c74</t>
  </si>
  <si>
    <t>Chairs forward</t>
  </si>
  <si>
    <t>63780ae4-7b39-4812-a465-0ad130d8bd40</t>
  </si>
  <si>
    <t>Tables as</t>
  </si>
  <si>
    <t>faf40521-6014-487d-bb25-70c9fa9f36da</t>
  </si>
  <si>
    <t>Accessories worker</t>
  </si>
  <si>
    <t>40ef2609-c4d2-400f-b67d-2e1cf766e53e</t>
  </si>
  <si>
    <t>Laptops beat</t>
  </si>
  <si>
    <t>46600aac-0e98-4a1e-9033-332a4520ffe4</t>
  </si>
  <si>
    <t>Bookcases safe</t>
  </si>
  <si>
    <t>b41f5523-d6e8-47e3-a293-bf5455d822d3</t>
  </si>
  <si>
    <t>Paper police</t>
  </si>
  <si>
    <t>54a00c1a-3b7d-4e15-af99-a4ef8fcbdd0a</t>
  </si>
  <si>
    <t>Pens cost</t>
  </si>
  <si>
    <t>97a13fc2-b5b4-40bd-8036-e0b6636ca7a0</t>
  </si>
  <si>
    <t>Chairs carry</t>
  </si>
  <si>
    <t>f21f6276-49ae-43a2-9904-3e72cbf61024</t>
  </si>
  <si>
    <t>Bookcases outside</t>
  </si>
  <si>
    <t>0f854262-10c6-4e84-9e01-6ab723cf942f</t>
  </si>
  <si>
    <t>Paper human</t>
  </si>
  <si>
    <t>9fc20946-0b9f-4eb8-908c-a582f582f0d4</t>
  </si>
  <si>
    <t>Tables drug</t>
  </si>
  <si>
    <t>463a7188-505a-4a66-8b21-6ec0b0961f9a</t>
  </si>
  <si>
    <t>ed97987b-90a7-43fa-b248-6b97ea482a82</t>
  </si>
  <si>
    <t>Binders myself</t>
  </si>
  <si>
    <t>b9880c9a-6c2a-4d4e-a143-12846dfc4df7</t>
  </si>
  <si>
    <t>Pens work</t>
  </si>
  <si>
    <t>6fcbe961-d621-45af-890f-55bd82dd0fea</t>
  </si>
  <si>
    <t>Laptops it</t>
  </si>
  <si>
    <t>68b7bd3c-7fc2-4e96-b068-46a3fa0954fb</t>
  </si>
  <si>
    <t>Pens hair</t>
  </si>
  <si>
    <t>ce448e9a-7209-491b-9446-5ddd6f56e894</t>
  </si>
  <si>
    <t>Pens far</t>
  </si>
  <si>
    <t>08776bd5-fea3-4c31-be72-df3c6ebcf08e</t>
  </si>
  <si>
    <t>Bookcases dinner</t>
  </si>
  <si>
    <t>de7ed439-1cb8-4e62-94a0-0b4e30cc481c</t>
  </si>
  <si>
    <t>Tables already</t>
  </si>
  <si>
    <t>b65c6dce-55cb-45cb-a677-0affa6daf6c6</t>
  </si>
  <si>
    <t>Binders news</t>
  </si>
  <si>
    <t>b39437da-1331-4c64-8b62-968821962358</t>
  </si>
  <si>
    <t>Pens throughout</t>
  </si>
  <si>
    <t>a58f9c27-bb34-4a96-877c-f38c594f8c76</t>
  </si>
  <si>
    <t>7b38437d-8e52-4f8c-8bea-ea2a76f8e328</t>
  </si>
  <si>
    <t>Chairs common</t>
  </si>
  <si>
    <t>2a9c0a40-1203-4d2c-b3d2-d9df01ce752e</t>
  </si>
  <si>
    <t>Binders ask</t>
  </si>
  <si>
    <t>7d191359-807e-408e-978d-cac77c86928e</t>
  </si>
  <si>
    <t>Chairs pull</t>
  </si>
  <si>
    <t>fbe54f84-850a-4c44-a148-3f40f94210e1</t>
  </si>
  <si>
    <t>Phones actually</t>
  </si>
  <si>
    <t>5520ae1d-3834-49e8-9bc4-4ca52cdc9ba3</t>
  </si>
  <si>
    <t>Phones agree</t>
  </si>
  <si>
    <t>232b7969-dba2-4c6f-b67f-215faf71cfa7</t>
  </si>
  <si>
    <t>Paper time</t>
  </si>
  <si>
    <t>aa94555b-d6f8-439a-abb2-817ae7d0ee73</t>
  </si>
  <si>
    <t>Binders structure</t>
  </si>
  <si>
    <t>4ccbaae2-3b93-4367-a29b-2204bec602f1</t>
  </si>
  <si>
    <t>Chairs baby</t>
  </si>
  <si>
    <t>beab0eb2-c588-4c6d-ad04-8560223a1749</t>
  </si>
  <si>
    <t>Paper center</t>
  </si>
  <si>
    <t>c7d1462b-caa2-4f6d-8577-8591ec371e67</t>
  </si>
  <si>
    <t>Binders office</t>
  </si>
  <si>
    <t>61fb434c-71b0-4d77-b165-bc694aebbd8d</t>
  </si>
  <si>
    <t>Paper interest</t>
  </si>
  <si>
    <t>57287db7-5778-4288-b63d-4d0131efc892</t>
  </si>
  <si>
    <t>Tables inside</t>
  </si>
  <si>
    <t>ac8f0b01-868b-442f-948f-d27d20513534</t>
  </si>
  <si>
    <t>Pens north</t>
  </si>
  <si>
    <t>f258858d-5461-480c-ab95-678b524a454d</t>
  </si>
  <si>
    <t>Binders total</t>
  </si>
  <si>
    <t>d4c3a864-0517-4b3a-aceb-75f99cb29e2f</t>
  </si>
  <si>
    <t>Binders economy</t>
  </si>
  <si>
    <t>Task 1: Quick Cleaning (10–12 mins)</t>
  </si>
  <si>
    <t>Remove duplicate rows.</t>
  </si>
  <si>
    <t>Fix inconsistent text entries (e.g., “nairobi”, “Nairobi ” → “Nairobi”).</t>
  </si>
  <si>
    <t>Convert the Date column to proper date format.</t>
  </si>
  <si>
    <t>Ensure Sales and Quantity columns are numeric.</t>
  </si>
  <si>
    <t>Replace missing values in one column of your choice (state your method).</t>
  </si>
  <si>
    <t>🔹 Task 2: Organizing Data (8–10 mins)</t>
  </si>
  <si>
    <t>Rename columns to clean format (e.g., total_sales instead of Total Sales).</t>
  </si>
  <si>
    <t>Create a new column:</t>
  </si>
  <si>
    <t>Profit = Sales − Cost</t>
  </si>
  <si>
    <t>Extract Month from the Date column.</t>
  </si>
  <si>
    <t>🔹 Task 3: Quick Insights (8–10 mins)</t>
  </si>
  <si>
    <t>Calculate total sales.</t>
  </si>
  <si>
    <t>Identify the top-selling product.</t>
  </si>
  <si>
    <t>Show total sales by month (simple summary or pivot)</t>
  </si>
  <si>
    <t>East</t>
  </si>
  <si>
    <t>West</t>
  </si>
  <si>
    <t>Not Provided</t>
  </si>
  <si>
    <t>Null</t>
  </si>
  <si>
    <t xml:space="preserve">Cost </t>
  </si>
  <si>
    <t>Month</t>
  </si>
  <si>
    <t>Quarter</t>
  </si>
  <si>
    <t>Lead_Time</t>
  </si>
  <si>
    <t>PROFIT/LOSS</t>
  </si>
  <si>
    <t>Loss Count</t>
  </si>
  <si>
    <t>Profit Count</t>
  </si>
  <si>
    <t>total quantity</t>
  </si>
  <si>
    <t xml:space="preserve">total sales </t>
  </si>
  <si>
    <t xml:space="preserve">Max Sales </t>
  </si>
  <si>
    <t>Avg Sales</t>
  </si>
  <si>
    <t>Min Sales</t>
  </si>
  <si>
    <t>&gt;500</t>
  </si>
  <si>
    <t>criteria</t>
  </si>
  <si>
    <t>&gt;15%</t>
  </si>
  <si>
    <t xml:space="preserve">max sales by state </t>
  </si>
  <si>
    <t>Row Labels</t>
  </si>
  <si>
    <t>Sum of Profit</t>
  </si>
  <si>
    <t>Grand Total</t>
  </si>
  <si>
    <t>Sum of Sales</t>
  </si>
  <si>
    <t>Average of Discount</t>
  </si>
  <si>
    <t>January</t>
  </si>
  <si>
    <t>February</t>
  </si>
  <si>
    <t>March</t>
  </si>
  <si>
    <t>April</t>
  </si>
  <si>
    <t>May</t>
  </si>
  <si>
    <t>June</t>
  </si>
  <si>
    <t>July</t>
  </si>
  <si>
    <t>August</t>
  </si>
  <si>
    <t>September</t>
  </si>
  <si>
    <t>October</t>
  </si>
  <si>
    <t>December</t>
  </si>
  <si>
    <t>YEAR</t>
  </si>
  <si>
    <t>Average Discount</t>
  </si>
  <si>
    <t>November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</si>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</sst>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ES]\ #,##0.00"/>
  </numFmts>
  <fonts count="5" x14ac:knownFonts="1">
    <font>
      <sz val="12"/>
      <color theme="1"/>
      <name val="Aptos Narrow"/>
      <scheme val="minor"/>
    </font>
    <font>
      <sz val="12"/>
      <color theme="1"/>
      <name val="Aptos Narrow"/>
      <scheme val="minor"/>
    </font>
    <font>
      <sz val="12"/>
      <color theme="1"/>
      <name val="Aptos Narrow"/>
    </font>
    <font>
      <sz val="12"/>
      <color theme="1"/>
      <name val="Aptos Narrow"/>
      <family val="2"/>
      <scheme val="minor"/>
    </font>
    <font>
      <sz val="12"/>
      <color theme="1"/>
      <name val="Aptos Narrow"/>
      <family val="2"/>
    </font>
  </fonts>
  <fills count="4">
    <fill>
      <patternFill patternType="none"/>
    </fill>
    <fill>
      <patternFill patternType="gray125"/>
    </fill>
    <fill>
      <patternFill patternType="solid">
        <fgColor theme="0"/>
        <bgColor indexed="64"/>
      </patternFill>
    </fill>
    <fill>
      <patternFill patternType="solid">
        <fgColor theme="1" tint="0.34998626667073579"/>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8">
    <xf numFmtId="0" fontId="0" fillId="0" borderId="0" xfId="0"/>
    <xf numFmtId="0" fontId="1" fillId="0" borderId="0" xfId="0" applyFont="1"/>
    <xf numFmtId="14" fontId="2" fillId="0" borderId="0" xfId="0" applyNumberFormat="1" applyFont="1"/>
    <xf numFmtId="11" fontId="2" fillId="0" borderId="0" xfId="0" applyNumberFormat="1" applyFont="1"/>
    <xf numFmtId="14" fontId="1" fillId="0" borderId="0" xfId="0" applyNumberFormat="1" applyFont="1"/>
    <xf numFmtId="14" fontId="0" fillId="0" borderId="0" xfId="0" applyNumberFormat="1"/>
    <xf numFmtId="10" fontId="1" fillId="0" borderId="0" xfId="0" applyNumberFormat="1" applyFont="1"/>
    <xf numFmtId="10" fontId="0" fillId="0" borderId="0" xfId="0" applyNumberFormat="1"/>
    <xf numFmtId="2" fontId="1" fillId="0" borderId="0" xfId="0" applyNumberFormat="1" applyFont="1"/>
    <xf numFmtId="2" fontId="0" fillId="0" borderId="0" xfId="0" applyNumberFormat="1"/>
    <xf numFmtId="164" fontId="1" fillId="0" borderId="0" xfId="0" applyNumberFormat="1" applyFont="1"/>
    <xf numFmtId="164" fontId="0" fillId="0" borderId="0" xfId="0" applyNumberFormat="1"/>
    <xf numFmtId="0" fontId="3" fillId="0" borderId="0" xfId="0" applyFont="1"/>
    <xf numFmtId="2" fontId="2" fillId="0" borderId="0" xfId="0" applyNumberFormat="1" applyFont="1"/>
    <xf numFmtId="0" fontId="0" fillId="2" borderId="0" xfId="0" applyFill="1"/>
    <xf numFmtId="0" fontId="1" fillId="2" borderId="0" xfId="0" applyFont="1" applyFill="1"/>
    <xf numFmtId="14" fontId="0" fillId="2" borderId="0" xfId="0" applyNumberFormat="1" applyFill="1"/>
    <xf numFmtId="14" fontId="2" fillId="2" borderId="0" xfId="0" applyNumberFormat="1" applyFont="1" applyFill="1"/>
    <xf numFmtId="2" fontId="2" fillId="2" borderId="0" xfId="0" applyNumberFormat="1" applyFont="1" applyFill="1"/>
    <xf numFmtId="0" fontId="3" fillId="2" borderId="0" xfId="0" applyFont="1" applyFill="1"/>
    <xf numFmtId="164" fontId="1" fillId="2" borderId="0" xfId="0" applyNumberFormat="1" applyFont="1" applyFill="1"/>
    <xf numFmtId="2" fontId="1" fillId="2" borderId="0" xfId="0" applyNumberFormat="1" applyFont="1" applyFill="1"/>
    <xf numFmtId="10" fontId="1" fillId="2" borderId="0" xfId="0" applyNumberFormat="1" applyFont="1" applyFill="1"/>
    <xf numFmtId="164" fontId="0" fillId="2" borderId="0" xfId="0" applyNumberFormat="1" applyFill="1"/>
    <xf numFmtId="11" fontId="2" fillId="2" borderId="0" xfId="0" applyNumberFormat="1" applyFont="1" applyFill="1"/>
    <xf numFmtId="14" fontId="4" fillId="2" borderId="0" xfId="0" applyNumberFormat="1" applyFont="1" applyFill="1"/>
    <xf numFmtId="0" fontId="0" fillId="0" borderId="0" xfId="0" pivotButton="1"/>
    <xf numFmtId="0" fontId="0" fillId="0" borderId="0" xfId="0" applyAlignment="1">
      <alignment horizontal="left"/>
    </xf>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3">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colors>
    <mruColors>
      <color rgb="FF1B06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[GlobalMart_Sales_Data_2.xlsx]Sheet3!PivotTable3</c:name>
    <c:fmtId val="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Total Sales</a:t>
            </a:r>
            <a:r>
              <a:rPr lang="en-US" baseline="0">
                <a:solidFill>
                  <a:schemeClr val="accent1">
                    <a:lumMod val="75000"/>
                  </a:schemeClr>
                </a:solidFill>
              </a:rPr>
              <a:t> per state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Texas</c:v>
                </c:pt>
                <c:pt idx="1">
                  <c:v>Pennsylvania</c:v>
                </c:pt>
                <c:pt idx="2">
                  <c:v>Ohio</c:v>
                </c:pt>
                <c:pt idx="3">
                  <c:v>New York</c:v>
                </c:pt>
                <c:pt idx="4">
                  <c:v>Michigan</c:v>
                </c:pt>
                <c:pt idx="5">
                  <c:v>Illinois</c:v>
                </c:pt>
                <c:pt idx="6">
                  <c:v>Florida</c:v>
                </c:pt>
                <c:pt idx="7">
                  <c:v>California</c:v>
                </c:pt>
              </c:strCache>
            </c:strRef>
          </c:cat>
          <c:val>
            <c:numRef>
              <c:f>Sheet3!$B$4:$B$12</c:f>
              <c:numCache>
                <c:formatCode>General</c:formatCode>
                <c:ptCount val="8"/>
                <c:pt idx="0">
                  <c:v>4885.17</c:v>
                </c:pt>
                <c:pt idx="1">
                  <c:v>16248.789999999999</c:v>
                </c:pt>
                <c:pt idx="2">
                  <c:v>5469.4</c:v>
                </c:pt>
                <c:pt idx="3">
                  <c:v>5236.47</c:v>
                </c:pt>
                <c:pt idx="4">
                  <c:v>4167.72</c:v>
                </c:pt>
                <c:pt idx="5">
                  <c:v>8969.7100000000009</c:v>
                </c:pt>
                <c:pt idx="6">
                  <c:v>6332.39</c:v>
                </c:pt>
                <c:pt idx="7">
                  <c:v>6367.1999999999989</c:v>
                </c:pt>
              </c:numCache>
            </c:numRef>
          </c:val>
          <c:extLst>
            <c:ext xmlns:c16="http://schemas.microsoft.com/office/drawing/2014/chart" uri="{C3380CC4-5D6E-409C-BE32-E72D297353CC}">
              <c16:uniqueId val="{00000000-6E68-4067-95E4-643B62ED9C19}"/>
            </c:ext>
          </c:extLst>
        </c:ser>
        <c:dLbls>
          <c:showLegendKey val="0"/>
          <c:showVal val="0"/>
          <c:showCatName val="0"/>
          <c:showSerName val="0"/>
          <c:showPercent val="0"/>
          <c:showBubbleSize val="0"/>
        </c:dLbls>
        <c:gapWidth val="182"/>
        <c:axId val="1563433456"/>
        <c:axId val="1563435376"/>
      </c:barChart>
      <c:catAx>
        <c:axId val="15634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35376"/>
        <c:crosses val="autoZero"/>
        <c:auto val="1"/>
        <c:lblAlgn val="ctr"/>
        <c:lblOffset val="100"/>
        <c:noMultiLvlLbl val="0"/>
      </c:catAx>
      <c:valAx>
        <c:axId val="156343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[GlobalMart_Sales_Data_2.xlsx]Sheet3!PivotTable8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71-46B2-AAD2-9A590E526C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71-46B2-AAD2-9A590E526C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71-46B2-AAD2-9A590E526C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71-46B2-AAD2-9A590E526C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71-46B2-AAD2-9A590E526C68}"/>
              </c:ext>
            </c:extLst>
          </c:dPt>
          <c:cat>
            <c:strRef>
              <c:f>Sheet3!$A$19:$A$24</c:f>
              <c:strCache>
                <c:ptCount val="5"/>
                <c:pt idx="0">
                  <c:v>Central</c:v>
                </c:pt>
                <c:pt idx="1">
                  <c:v>East</c:v>
                </c:pt>
                <c:pt idx="2">
                  <c:v>Not Provided</c:v>
                </c:pt>
                <c:pt idx="3">
                  <c:v>South</c:v>
                </c:pt>
                <c:pt idx="4">
                  <c:v>West</c:v>
                </c:pt>
              </c:strCache>
            </c:strRef>
          </c:cat>
          <c:val>
            <c:numRef>
              <c:f>Sheet3!$B$19:$B$24</c:f>
              <c:numCache>
                <c:formatCode>0.00%</c:formatCode>
                <c:ptCount val="5"/>
                <c:pt idx="0">
                  <c:v>0.26045454545454549</c:v>
                </c:pt>
                <c:pt idx="1">
                  <c:v>0.28821428571428581</c:v>
                </c:pt>
                <c:pt idx="2">
                  <c:v>0.15000000000000002</c:v>
                </c:pt>
                <c:pt idx="3">
                  <c:v>0.23800000000000002</c:v>
                </c:pt>
                <c:pt idx="4">
                  <c:v>0.19086956521739129</c:v>
                </c:pt>
              </c:numCache>
            </c:numRef>
          </c:val>
          <c:extLst>
            <c:ext xmlns:c16="http://schemas.microsoft.com/office/drawing/2014/chart" uri="{C3380CC4-5D6E-409C-BE32-E72D297353CC}">
              <c16:uniqueId val="{00000000-1CFE-4993-B641-DF498B0CB4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[GlobalMart_Sales_Data_2.xlsx]Sheet5!PivotTable11</c:name>
    <c:fmtId val="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aseline="0">
                <a:solidFill>
                  <a:schemeClr val="accent1">
                    <a:lumMod val="75000"/>
                  </a:schemeClr>
                </a:solidFill>
              </a:rPr>
              <a:t>PROFIT AND SALES ANNUAL REPORT  </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Sum of Sales</c:v>
                </c:pt>
              </c:strCache>
            </c:strRef>
          </c:tx>
          <c:spPr>
            <a:ln w="28575" cap="rnd">
              <a:solidFill>
                <a:schemeClr val="accent1"/>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General</c:formatCode>
                <c:ptCount val="12"/>
                <c:pt idx="0">
                  <c:v>2425.65</c:v>
                </c:pt>
                <c:pt idx="1">
                  <c:v>3232.1400000000003</c:v>
                </c:pt>
                <c:pt idx="2">
                  <c:v>3237.4399999999996</c:v>
                </c:pt>
                <c:pt idx="3">
                  <c:v>5261.73</c:v>
                </c:pt>
                <c:pt idx="4">
                  <c:v>3510.7500000000005</c:v>
                </c:pt>
                <c:pt idx="5">
                  <c:v>7036.1600000000008</c:v>
                </c:pt>
                <c:pt idx="6">
                  <c:v>13090.5</c:v>
                </c:pt>
                <c:pt idx="7">
                  <c:v>4068.14</c:v>
                </c:pt>
                <c:pt idx="8">
                  <c:v>4677.6500000000005</c:v>
                </c:pt>
                <c:pt idx="9">
                  <c:v>3647.3800000000006</c:v>
                </c:pt>
                <c:pt idx="10">
                  <c:v>3038.2899999999995</c:v>
                </c:pt>
                <c:pt idx="11">
                  <c:v>4451.0200000000004</c:v>
                </c:pt>
              </c:numCache>
            </c:numRef>
          </c:val>
          <c:smooth val="0"/>
          <c:extLst>
            <c:ext xmlns:c16="http://schemas.microsoft.com/office/drawing/2014/chart" uri="{C3380CC4-5D6E-409C-BE32-E72D297353CC}">
              <c16:uniqueId val="{00000000-CECA-402B-B18B-AE341DD31EE6}"/>
            </c:ext>
          </c:extLst>
        </c:ser>
        <c:ser>
          <c:idx val="1"/>
          <c:order val="1"/>
          <c:tx>
            <c:strRef>
              <c:f>Sheet5!$C$3</c:f>
              <c:strCache>
                <c:ptCount val="1"/>
                <c:pt idx="0">
                  <c:v>Sum of Profit</c:v>
                </c:pt>
              </c:strCache>
            </c:strRef>
          </c:tx>
          <c:spPr>
            <a:ln w="28575" cap="rnd">
              <a:solidFill>
                <a:schemeClr val="accent2"/>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Sheet5!$C$4:$C$16</c:f>
              <c:numCache>
                <c:formatCode>[$KES]\ #,##0.00</c:formatCode>
                <c:ptCount val="12"/>
                <c:pt idx="0">
                  <c:v>1497.6100000000001</c:v>
                </c:pt>
                <c:pt idx="1">
                  <c:v>2184.16</c:v>
                </c:pt>
                <c:pt idx="2">
                  <c:v>2501.4999999999991</c:v>
                </c:pt>
                <c:pt idx="3">
                  <c:v>4078.88</c:v>
                </c:pt>
                <c:pt idx="4">
                  <c:v>3514.4799999999996</c:v>
                </c:pt>
                <c:pt idx="5">
                  <c:v>4985.0600000000013</c:v>
                </c:pt>
                <c:pt idx="6">
                  <c:v>2497.1899999999996</c:v>
                </c:pt>
                <c:pt idx="7">
                  <c:v>2814.73</c:v>
                </c:pt>
                <c:pt idx="8">
                  <c:v>2922.02</c:v>
                </c:pt>
                <c:pt idx="9">
                  <c:v>2976.01</c:v>
                </c:pt>
                <c:pt idx="10">
                  <c:v>1893.5299999999997</c:v>
                </c:pt>
                <c:pt idx="11">
                  <c:v>3355.76</c:v>
                </c:pt>
              </c:numCache>
            </c:numRef>
          </c:val>
          <c:smooth val="0"/>
          <c:extLst>
            <c:ext xmlns:c16="http://schemas.microsoft.com/office/drawing/2014/chart" uri="{C3380CC4-5D6E-409C-BE32-E72D297353CC}">
              <c16:uniqueId val="{00000002-CECA-402B-B18B-AE341DD31EE6}"/>
            </c:ext>
          </c:extLst>
        </c:ser>
        <c:dLbls>
          <c:showLegendKey val="0"/>
          <c:showVal val="0"/>
          <c:showCatName val="0"/>
          <c:showSerName val="0"/>
          <c:showPercent val="0"/>
          <c:showBubbleSize val="0"/>
        </c:dLbls>
        <c:smooth val="0"/>
        <c:axId val="1024898847"/>
        <c:axId val="1024899807"/>
      </c:lineChart>
      <c:catAx>
        <c:axId val="10248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99807"/>
        <c:crosses val="autoZero"/>
        <c:auto val="1"/>
        <c:lblAlgn val="ctr"/>
        <c:lblOffset val="100"/>
        <c:noMultiLvlLbl val="0"/>
      </c:catAx>
      <c:valAx>
        <c:axId val="102489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9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[GlobalMart_Sales_Data_2.xlsx]Sheet5!PivotTable11</c:name>
    <c:fmtId val="4"/>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aseline="0">
                <a:solidFill>
                  <a:schemeClr val="accent1">
                    <a:lumMod val="75000"/>
                  </a:schemeClr>
                </a:solidFill>
              </a:rPr>
              <a:t>PROFIT AND SALES ANNUAL REPORT  </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Sum of Sales</c:v>
                </c:pt>
              </c:strCache>
            </c:strRef>
          </c:tx>
          <c:spPr>
            <a:ln w="28575" cap="rnd">
              <a:solidFill>
                <a:schemeClr val="accent1"/>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General</c:formatCode>
                <c:ptCount val="12"/>
                <c:pt idx="0">
                  <c:v>2425.65</c:v>
                </c:pt>
                <c:pt idx="1">
                  <c:v>3232.1400000000003</c:v>
                </c:pt>
                <c:pt idx="2">
                  <c:v>3237.4399999999996</c:v>
                </c:pt>
                <c:pt idx="3">
                  <c:v>5261.73</c:v>
                </c:pt>
                <c:pt idx="4">
                  <c:v>3510.7500000000005</c:v>
                </c:pt>
                <c:pt idx="5">
                  <c:v>7036.1600000000008</c:v>
                </c:pt>
                <c:pt idx="6">
                  <c:v>13090.5</c:v>
                </c:pt>
                <c:pt idx="7">
                  <c:v>4068.14</c:v>
                </c:pt>
                <c:pt idx="8">
                  <c:v>4677.6500000000005</c:v>
                </c:pt>
                <c:pt idx="9">
                  <c:v>3647.3800000000006</c:v>
                </c:pt>
                <c:pt idx="10">
                  <c:v>3038.2899999999995</c:v>
                </c:pt>
                <c:pt idx="11">
                  <c:v>4451.0200000000004</c:v>
                </c:pt>
              </c:numCache>
            </c:numRef>
          </c:val>
          <c:smooth val="0"/>
          <c:extLst>
            <c:ext xmlns:c16="http://schemas.microsoft.com/office/drawing/2014/chart" uri="{C3380CC4-5D6E-409C-BE32-E72D297353CC}">
              <c16:uniqueId val="{00000000-796F-4714-BDB0-7A70344FF7C8}"/>
            </c:ext>
          </c:extLst>
        </c:ser>
        <c:ser>
          <c:idx val="1"/>
          <c:order val="1"/>
          <c:tx>
            <c:strRef>
              <c:f>Sheet5!$C$3</c:f>
              <c:strCache>
                <c:ptCount val="1"/>
                <c:pt idx="0">
                  <c:v>Sum of Profit</c:v>
                </c:pt>
              </c:strCache>
            </c:strRef>
          </c:tx>
          <c:spPr>
            <a:ln w="28575" cap="rnd">
              <a:solidFill>
                <a:schemeClr val="accent2"/>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Sheet5!$C$4:$C$16</c:f>
              <c:numCache>
                <c:formatCode>[$KES]\ #,##0.00</c:formatCode>
                <c:ptCount val="12"/>
                <c:pt idx="0">
                  <c:v>1497.6100000000001</c:v>
                </c:pt>
                <c:pt idx="1">
                  <c:v>2184.16</c:v>
                </c:pt>
                <c:pt idx="2">
                  <c:v>2501.4999999999991</c:v>
                </c:pt>
                <c:pt idx="3">
                  <c:v>4078.88</c:v>
                </c:pt>
                <c:pt idx="4">
                  <c:v>3514.4799999999996</c:v>
                </c:pt>
                <c:pt idx="5">
                  <c:v>4985.0600000000013</c:v>
                </c:pt>
                <c:pt idx="6">
                  <c:v>2497.1899999999996</c:v>
                </c:pt>
                <c:pt idx="7">
                  <c:v>2814.73</c:v>
                </c:pt>
                <c:pt idx="8">
                  <c:v>2922.02</c:v>
                </c:pt>
                <c:pt idx="9">
                  <c:v>2976.01</c:v>
                </c:pt>
                <c:pt idx="10">
                  <c:v>1893.5299999999997</c:v>
                </c:pt>
                <c:pt idx="11">
                  <c:v>3355.76</c:v>
                </c:pt>
              </c:numCache>
            </c:numRef>
          </c:val>
          <c:smooth val="0"/>
          <c:extLst>
            <c:ext xmlns:c16="http://schemas.microsoft.com/office/drawing/2014/chart" uri="{C3380CC4-5D6E-409C-BE32-E72D297353CC}">
              <c16:uniqueId val="{00000001-796F-4714-BDB0-7A70344FF7C8}"/>
            </c:ext>
          </c:extLst>
        </c:ser>
        <c:dLbls>
          <c:showLegendKey val="0"/>
          <c:showVal val="0"/>
          <c:showCatName val="0"/>
          <c:showSerName val="0"/>
          <c:showPercent val="0"/>
          <c:showBubbleSize val="0"/>
        </c:dLbls>
        <c:smooth val="0"/>
        <c:axId val="1024898847"/>
        <c:axId val="1024899807"/>
      </c:lineChart>
      <c:catAx>
        <c:axId val="10248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99807"/>
        <c:crosses val="autoZero"/>
        <c:auto val="1"/>
        <c:lblAlgn val="ctr"/>
        <c:lblOffset val="100"/>
        <c:noMultiLvlLbl val="0"/>
      </c:catAx>
      <c:valAx>
        <c:axId val="102489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9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[GlobalMart_Sales_Data_2.xlsx]Sheet3!PivotTable3</c:name>
    <c:fmtId val="6"/>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TOTAL</a:t>
            </a:r>
            <a:r>
              <a:rPr lang="en-US" baseline="0">
                <a:solidFill>
                  <a:schemeClr val="accent1">
                    <a:lumMod val="75000"/>
                  </a:schemeClr>
                </a:solidFill>
              </a:rPr>
              <a:t> SALES PER STATE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Sheet3!$A$4:$A$12</c:f>
              <c:strCache>
                <c:ptCount val="8"/>
                <c:pt idx="0">
                  <c:v>Texas</c:v>
                </c:pt>
                <c:pt idx="1">
                  <c:v>Pennsylvania</c:v>
                </c:pt>
                <c:pt idx="2">
                  <c:v>Ohio</c:v>
                </c:pt>
                <c:pt idx="3">
                  <c:v>New York</c:v>
                </c:pt>
                <c:pt idx="4">
                  <c:v>Michigan</c:v>
                </c:pt>
                <c:pt idx="5">
                  <c:v>Illinois</c:v>
                </c:pt>
                <c:pt idx="6">
                  <c:v>Florida</c:v>
                </c:pt>
                <c:pt idx="7">
                  <c:v>California</c:v>
                </c:pt>
              </c:strCache>
            </c:strRef>
          </c:cat>
          <c:val>
            <c:numRef>
              <c:f>Sheet3!$B$4:$B$12</c:f>
              <c:numCache>
                <c:formatCode>General</c:formatCode>
                <c:ptCount val="8"/>
                <c:pt idx="0">
                  <c:v>4885.17</c:v>
                </c:pt>
                <c:pt idx="1">
                  <c:v>16248.789999999999</c:v>
                </c:pt>
                <c:pt idx="2">
                  <c:v>5469.4</c:v>
                </c:pt>
                <c:pt idx="3">
                  <c:v>5236.47</c:v>
                </c:pt>
                <c:pt idx="4">
                  <c:v>4167.72</c:v>
                </c:pt>
                <c:pt idx="5">
                  <c:v>8969.7100000000009</c:v>
                </c:pt>
                <c:pt idx="6">
                  <c:v>6332.39</c:v>
                </c:pt>
                <c:pt idx="7">
                  <c:v>6367.1999999999989</c:v>
                </c:pt>
              </c:numCache>
            </c:numRef>
          </c:val>
          <c:extLst>
            <c:ext xmlns:c16="http://schemas.microsoft.com/office/drawing/2014/chart" uri="{C3380CC4-5D6E-409C-BE32-E72D297353CC}">
              <c16:uniqueId val="{00000000-7DB5-4E4E-81C8-35ED46F0B37A}"/>
            </c:ext>
          </c:extLst>
        </c:ser>
        <c:dLbls>
          <c:showLegendKey val="0"/>
          <c:showVal val="0"/>
          <c:showCatName val="0"/>
          <c:showSerName val="0"/>
          <c:showPercent val="0"/>
          <c:showBubbleSize val="0"/>
        </c:dLbls>
        <c:gapWidth val="182"/>
        <c:axId val="1563433456"/>
        <c:axId val="1563435376"/>
      </c:barChart>
      <c:catAx>
        <c:axId val="15634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35376"/>
        <c:crosses val="autoZero"/>
        <c:auto val="1"/>
        <c:lblAlgn val="ctr"/>
        <c:lblOffset val="100"/>
        <c:noMultiLvlLbl val="0"/>
      </c:catAx>
      <c:valAx>
        <c:axId val="156343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4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[GlobalMart_Sales_Data_2.xlsx]Sheet3!PivotTable8</c:name>
    <c:fmtId val="2"/>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TOTAL</a:t>
            </a:r>
            <a:r>
              <a:rPr lang="en-US" baseline="0">
                <a:solidFill>
                  <a:schemeClr val="accent1">
                    <a:lumMod val="75000"/>
                  </a:schemeClr>
                </a:solidFill>
              </a:rPr>
              <a:t> AVERAGE DISCOUNT PER REGION</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Sheet3!$B$18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3D-4B30-A3F0-0D5E9638D7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3D-4B30-A3F0-0D5E9638D7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3D-4B30-A3F0-0D5E9638D7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3D-4B30-A3F0-0D5E9638D7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E9-47BD-8065-3631FACDD489}"/>
              </c:ext>
            </c:extLst>
          </c:dPt>
          <c:cat>
            <c:strRef>
              <c:f>Sheet3!$A$19:$A$24</c:f>
              <c:strCache>
                <c:ptCount val="5"/>
                <c:pt idx="0">
                  <c:v>Central</c:v>
                </c:pt>
                <c:pt idx="1">
                  <c:v>East</c:v>
                </c:pt>
                <c:pt idx="2">
                  <c:v>Not Provided</c:v>
                </c:pt>
                <c:pt idx="3">
                  <c:v>South</c:v>
                </c:pt>
                <c:pt idx="4">
                  <c:v>West</c:v>
                </c:pt>
              </c:strCache>
            </c:strRef>
          </c:cat>
          <c:val>
            <c:numRef>
              <c:f>Sheet3!$B$19:$B$24</c:f>
              <c:numCache>
                <c:formatCode>0.00%</c:formatCode>
                <c:ptCount val="5"/>
                <c:pt idx="0">
                  <c:v>0.26045454545454549</c:v>
                </c:pt>
                <c:pt idx="1">
                  <c:v>0.28821428571428581</c:v>
                </c:pt>
                <c:pt idx="2">
                  <c:v>0.15000000000000002</c:v>
                </c:pt>
                <c:pt idx="3">
                  <c:v>0.23800000000000002</c:v>
                </c:pt>
                <c:pt idx="4">
                  <c:v>0.19086956521739129</c:v>
                </c:pt>
              </c:numCache>
            </c:numRef>
          </c:val>
          <c:extLst>
            <c:ext xmlns:c16="http://schemas.microsoft.com/office/drawing/2014/chart" uri="{C3380CC4-5D6E-409C-BE32-E72D297353CC}">
              <c16:uniqueId val="{00000008-7C3D-4B30-A3F0-0D5E9638D7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19050</xdr:rowOff>
    </xdr:from>
    <xdr:to>
      <xdr:col>4</xdr:col>
      <xdr:colOff>1295400</xdr:colOff>
      <xdr:row>45</xdr:row>
      <xdr:rowOff>107949</xdr:rowOff>
    </xdr:to>
    <xdr:graphicFrame macro="">
      <xdr:nvGraphicFramePr>
        <xdr:cNvPr id="2" name="Chart 1">
          <a:extLst>
            <a:ext uri="{FF2B5EF4-FFF2-40B4-BE49-F238E27FC236}">
              <a16:creationId xmlns:a16="http://schemas.microsoft.com/office/drawing/2014/main" id="{F115B1EF-C2DA-11CE-E2B0-5655107D6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29</xdr:row>
      <xdr:rowOff>200025</xdr:rowOff>
    </xdr:from>
    <xdr:to>
      <xdr:col>9</xdr:col>
      <xdr:colOff>603250</xdr:colOff>
      <xdr:row>43</xdr:row>
      <xdr:rowOff>98425</xdr:rowOff>
    </xdr:to>
    <xdr:graphicFrame macro="">
      <xdr:nvGraphicFramePr>
        <xdr:cNvPr id="3" name="Chart 2">
          <a:extLst>
            <a:ext uri="{FF2B5EF4-FFF2-40B4-BE49-F238E27FC236}">
              <a16:creationId xmlns:a16="http://schemas.microsoft.com/office/drawing/2014/main" id="{D35296C9-C467-FFFD-9924-CCA26DB07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30568</xdr:colOff>
      <xdr:row>1</xdr:row>
      <xdr:rowOff>198918</xdr:rowOff>
    </xdr:from>
    <xdr:to>
      <xdr:col>11</xdr:col>
      <xdr:colOff>536500</xdr:colOff>
      <xdr:row>8</xdr:row>
      <xdr:rowOff>148118</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885FD6A-B470-DB46-A55F-EAE1E8BAEA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03640" y="405484"/>
              <a:ext cx="1821836" cy="1395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58627</xdr:colOff>
      <xdr:row>1</xdr:row>
      <xdr:rowOff>173075</xdr:rowOff>
    </xdr:from>
    <xdr:to>
      <xdr:col>15</xdr:col>
      <xdr:colOff>565446</xdr:colOff>
      <xdr:row>15</xdr:row>
      <xdr:rowOff>134605</xdr:rowOff>
    </xdr:to>
    <mc:AlternateContent xmlns:mc="http://schemas.openxmlformats.org/markup-compatibility/2006" xmlns:a14="http://schemas.microsoft.com/office/drawing/2010/main">
      <mc:Choice Requires="a14">
        <xdr:graphicFrame macro="">
          <xdr:nvGraphicFramePr>
            <xdr:cNvPr id="5" name="Sub-Category">
              <a:extLst>
                <a:ext uri="{FF2B5EF4-FFF2-40B4-BE49-F238E27FC236}">
                  <a16:creationId xmlns:a16="http://schemas.microsoft.com/office/drawing/2014/main" id="{939E576C-4DC6-26D7-D6D3-CC56E90AF04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682121" y="379641"/>
              <a:ext cx="1822723" cy="2853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365163</xdr:colOff>
      <xdr:row>17</xdr:row>
      <xdr:rowOff>6274</xdr:rowOff>
    </xdr:from>
    <xdr:to>
      <xdr:col>10</xdr:col>
      <xdr:colOff>518481</xdr:colOff>
      <xdr:row>27</xdr:row>
      <xdr:rowOff>53554</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BAE55C85-7D5C-24B0-AA4C-A0E4D042FB4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20705" y="3517901"/>
              <a:ext cx="1828800" cy="2112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170597</xdr:colOff>
      <xdr:row>2</xdr:row>
      <xdr:rowOff>35588</xdr:rowOff>
    </xdr:from>
    <xdr:to>
      <xdr:col>10</xdr:col>
      <xdr:colOff>111929</xdr:colOff>
      <xdr:row>14</xdr:row>
      <xdr:rowOff>161120</xdr:rowOff>
    </xdr:to>
    <xdr:graphicFrame macro="">
      <xdr:nvGraphicFramePr>
        <xdr:cNvPr id="2" name="Chart 1">
          <a:extLst>
            <a:ext uri="{FF2B5EF4-FFF2-40B4-BE49-F238E27FC236}">
              <a16:creationId xmlns:a16="http://schemas.microsoft.com/office/drawing/2014/main" id="{9CC22073-FE94-C863-C613-83700440E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80493</xdr:colOff>
      <xdr:row>0</xdr:row>
      <xdr:rowOff>0</xdr:rowOff>
    </xdr:from>
    <xdr:to>
      <xdr:col>18</xdr:col>
      <xdr:colOff>0</xdr:colOff>
      <xdr:row>6</xdr:row>
      <xdr:rowOff>63500</xdr:rowOff>
    </xdr:to>
    <xdr:sp macro="" textlink="">
      <xdr:nvSpPr>
        <xdr:cNvPr id="3" name="Rectangle: Rounded Corners 2">
          <a:extLst>
            <a:ext uri="{FF2B5EF4-FFF2-40B4-BE49-F238E27FC236}">
              <a16:creationId xmlns:a16="http://schemas.microsoft.com/office/drawing/2014/main" id="{B7D1E29A-364B-633C-F0FD-5E9195F3F4C6}"/>
            </a:ext>
          </a:extLst>
        </xdr:cNvPr>
        <xdr:cNvSpPr/>
      </xdr:nvSpPr>
      <xdr:spPr>
        <a:xfrm>
          <a:off x="80493" y="0"/>
          <a:ext cx="11832465" cy="1297725"/>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GLOBAL</a:t>
          </a:r>
          <a:r>
            <a:rPr lang="en-US" sz="4000" baseline="0"/>
            <a:t> MART DASHBOARD</a:t>
          </a:r>
          <a:endParaRPr lang="en-US" sz="4000"/>
        </a:p>
      </xdr:txBody>
    </xdr:sp>
    <xdr:clientData/>
  </xdr:twoCellAnchor>
  <xdr:twoCellAnchor>
    <xdr:from>
      <xdr:col>3</xdr:col>
      <xdr:colOff>336550</xdr:colOff>
      <xdr:row>8</xdr:row>
      <xdr:rowOff>146050</xdr:rowOff>
    </xdr:from>
    <xdr:to>
      <xdr:col>6</xdr:col>
      <xdr:colOff>190500</xdr:colOff>
      <xdr:row>13</xdr:row>
      <xdr:rowOff>158750</xdr:rowOff>
    </xdr:to>
    <xdr:sp macro="" textlink="">
      <xdr:nvSpPr>
        <xdr:cNvPr id="4" name="Rectangle: Rounded Corners 3">
          <a:extLst>
            <a:ext uri="{FF2B5EF4-FFF2-40B4-BE49-F238E27FC236}">
              <a16:creationId xmlns:a16="http://schemas.microsoft.com/office/drawing/2014/main" id="{FA688395-21D1-2050-1217-19FF68E2B1CC}"/>
            </a:ext>
          </a:extLst>
        </xdr:cNvPr>
        <xdr:cNvSpPr/>
      </xdr:nvSpPr>
      <xdr:spPr>
        <a:xfrm>
          <a:off x="2317750" y="1771650"/>
          <a:ext cx="183515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SALES:</a:t>
          </a:r>
        </a:p>
        <a:p>
          <a:pPr algn="l"/>
          <a:r>
            <a:rPr lang="en-US" sz="1600" b="0" i="0" u="none" strike="noStrike">
              <a:solidFill>
                <a:schemeClr val="lt1"/>
              </a:solidFill>
              <a:effectLst/>
              <a:latin typeface="+mn-lt"/>
              <a:ea typeface="+mn-ea"/>
              <a:cs typeface="+mn-cs"/>
            </a:rPr>
            <a:t>KES 1,085,268.64</a:t>
          </a:r>
          <a:r>
            <a:rPr lang="en-US" sz="1600">
              <a:effectLst/>
            </a:rPr>
            <a:t> </a:t>
          </a:r>
          <a:endParaRPr lang="en-US" sz="1600"/>
        </a:p>
      </xdr:txBody>
    </xdr:sp>
    <xdr:clientData/>
  </xdr:twoCellAnchor>
  <xdr:twoCellAnchor>
    <xdr:from>
      <xdr:col>14</xdr:col>
      <xdr:colOff>95250</xdr:colOff>
      <xdr:row>8</xdr:row>
      <xdr:rowOff>127000</xdr:rowOff>
    </xdr:from>
    <xdr:to>
      <xdr:col>17</xdr:col>
      <xdr:colOff>431800</xdr:colOff>
      <xdr:row>13</xdr:row>
      <xdr:rowOff>190500</xdr:rowOff>
    </xdr:to>
    <xdr:sp macro="" textlink="">
      <xdr:nvSpPr>
        <xdr:cNvPr id="6" name="Rectangle: Rounded Corners 5">
          <a:extLst>
            <a:ext uri="{FF2B5EF4-FFF2-40B4-BE49-F238E27FC236}">
              <a16:creationId xmlns:a16="http://schemas.microsoft.com/office/drawing/2014/main" id="{FE7C14BA-58C0-406E-96F3-78CD0E2D50E8}"/>
            </a:ext>
          </a:extLst>
        </xdr:cNvPr>
        <xdr:cNvSpPr/>
      </xdr:nvSpPr>
      <xdr:spPr>
        <a:xfrm>
          <a:off x="9340850" y="1752600"/>
          <a:ext cx="2317750"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AVERAGE</a:t>
          </a:r>
          <a:r>
            <a:rPr lang="en-US" sz="1800" baseline="0"/>
            <a:t> </a:t>
          </a:r>
          <a:r>
            <a:rPr lang="en-US" sz="1800"/>
            <a:t>DISCOUNT:  </a:t>
          </a:r>
          <a:r>
            <a:rPr lang="en-US" sz="1800" b="0" i="0" u="none" strike="noStrike">
              <a:solidFill>
                <a:schemeClr val="lt1"/>
              </a:solidFill>
              <a:effectLst/>
              <a:latin typeface="+mn-lt"/>
              <a:ea typeface="+mn-ea"/>
              <a:cs typeface="+mn-cs"/>
            </a:rPr>
            <a:t>24.32%</a:t>
          </a:r>
          <a:r>
            <a:rPr lang="en-US" sz="1800">
              <a:effectLst/>
            </a:rPr>
            <a:t>  </a:t>
          </a:r>
          <a:endParaRPr lang="en-US" sz="1800"/>
        </a:p>
      </xdr:txBody>
    </xdr:sp>
    <xdr:clientData/>
  </xdr:twoCellAnchor>
  <xdr:twoCellAnchor>
    <xdr:from>
      <xdr:col>10</xdr:col>
      <xdr:colOff>50800</xdr:colOff>
      <xdr:row>8</xdr:row>
      <xdr:rowOff>152400</xdr:rowOff>
    </xdr:from>
    <xdr:to>
      <xdr:col>13</xdr:col>
      <xdr:colOff>546100</xdr:colOff>
      <xdr:row>13</xdr:row>
      <xdr:rowOff>63500</xdr:rowOff>
    </xdr:to>
    <xdr:sp macro="" textlink="">
      <xdr:nvSpPr>
        <xdr:cNvPr id="7" name="Rectangle: Rounded Corners 6">
          <a:extLst>
            <a:ext uri="{FF2B5EF4-FFF2-40B4-BE49-F238E27FC236}">
              <a16:creationId xmlns:a16="http://schemas.microsoft.com/office/drawing/2014/main" id="{45F2B018-72B7-49D5-A0AB-851D196741DC}"/>
            </a:ext>
          </a:extLst>
        </xdr:cNvPr>
        <xdr:cNvSpPr/>
      </xdr:nvSpPr>
      <xdr:spPr>
        <a:xfrm>
          <a:off x="6654800" y="1778000"/>
          <a:ext cx="2476500" cy="927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 QUANTITY</a:t>
          </a:r>
          <a:r>
            <a:rPr lang="en-US" sz="1800" baseline="0"/>
            <a:t> </a:t>
          </a:r>
          <a:r>
            <a:rPr lang="en-US" sz="1800"/>
            <a:t>SOLD: </a:t>
          </a:r>
          <a:r>
            <a:rPr lang="en-US" sz="1800" b="0" i="0" u="none" strike="noStrike">
              <a:solidFill>
                <a:schemeClr val="lt1"/>
              </a:solidFill>
              <a:effectLst/>
              <a:latin typeface="+mn-lt"/>
              <a:ea typeface="+mn-ea"/>
              <a:cs typeface="+mn-cs"/>
            </a:rPr>
            <a:t>5650.00</a:t>
          </a:r>
          <a:r>
            <a:rPr lang="en-US" sz="1800">
              <a:effectLst/>
            </a:rPr>
            <a:t> </a:t>
          </a:r>
          <a:endParaRPr lang="en-US" sz="1800"/>
        </a:p>
      </xdr:txBody>
    </xdr:sp>
    <xdr:clientData/>
  </xdr:twoCellAnchor>
  <xdr:twoCellAnchor>
    <xdr:from>
      <xdr:col>6</xdr:col>
      <xdr:colOff>571500</xdr:colOff>
      <xdr:row>8</xdr:row>
      <xdr:rowOff>158750</xdr:rowOff>
    </xdr:from>
    <xdr:to>
      <xdr:col>9</xdr:col>
      <xdr:colOff>419100</xdr:colOff>
      <xdr:row>13</xdr:row>
      <xdr:rowOff>88900</xdr:rowOff>
    </xdr:to>
    <xdr:sp macro="" textlink="">
      <xdr:nvSpPr>
        <xdr:cNvPr id="8" name="Rectangle: Rounded Corners 7">
          <a:extLst>
            <a:ext uri="{FF2B5EF4-FFF2-40B4-BE49-F238E27FC236}">
              <a16:creationId xmlns:a16="http://schemas.microsoft.com/office/drawing/2014/main" id="{25D26116-DC5D-4553-986E-A0FB576A685B}"/>
            </a:ext>
          </a:extLst>
        </xdr:cNvPr>
        <xdr:cNvSpPr/>
      </xdr:nvSpPr>
      <xdr:spPr>
        <a:xfrm>
          <a:off x="4533900" y="1784350"/>
          <a:ext cx="1828800" cy="946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TOTAL PROFIT:</a:t>
          </a:r>
          <a:br>
            <a:rPr lang="en-US" sz="1800"/>
          </a:br>
          <a:r>
            <a:rPr lang="en-US" sz="1800" b="0" i="0" u="none" strike="noStrike">
              <a:solidFill>
                <a:schemeClr val="lt1"/>
              </a:solidFill>
              <a:effectLst/>
              <a:latin typeface="+mn-lt"/>
              <a:ea typeface="+mn-ea"/>
              <a:cs typeface="+mn-cs"/>
            </a:rPr>
            <a:t>KES 962.90</a:t>
          </a:r>
          <a:r>
            <a:rPr lang="en-US" sz="1800">
              <a:effectLst/>
            </a:rPr>
            <a:t> </a:t>
          </a:r>
          <a:endParaRPr lang="en-US" sz="1800"/>
        </a:p>
      </xdr:txBody>
    </xdr:sp>
    <xdr:clientData/>
  </xdr:twoCellAnchor>
  <xdr:twoCellAnchor>
    <xdr:from>
      <xdr:col>3</xdr:col>
      <xdr:colOff>406400</xdr:colOff>
      <xdr:row>14</xdr:row>
      <xdr:rowOff>184150</xdr:rowOff>
    </xdr:from>
    <xdr:to>
      <xdr:col>9</xdr:col>
      <xdr:colOff>514350</xdr:colOff>
      <xdr:row>27</xdr:row>
      <xdr:rowOff>165100</xdr:rowOff>
    </xdr:to>
    <xdr:graphicFrame macro="">
      <xdr:nvGraphicFramePr>
        <xdr:cNvPr id="10" name="Chart 9">
          <a:extLst>
            <a:ext uri="{FF2B5EF4-FFF2-40B4-BE49-F238E27FC236}">
              <a16:creationId xmlns:a16="http://schemas.microsoft.com/office/drawing/2014/main" id="{8769AA60-31A2-4ABC-984C-7BCB8F1B3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165100</xdr:colOff>
      <xdr:row>14</xdr:row>
      <xdr:rowOff>165101</xdr:rowOff>
    </xdr:from>
    <xdr:to>
      <xdr:col>17</xdr:col>
      <xdr:colOff>400050</xdr:colOff>
      <xdr:row>27</xdr:row>
      <xdr:rowOff>165101</xdr:rowOff>
    </xdr:to>
    <xdr:graphicFrame macro="">
      <xdr:nvGraphicFramePr>
        <xdr:cNvPr id="12" name="Chart 11">
          <a:extLst>
            <a:ext uri="{FF2B5EF4-FFF2-40B4-BE49-F238E27FC236}">
              <a16:creationId xmlns:a16="http://schemas.microsoft.com/office/drawing/2014/main" id="{F8BF689F-7992-418D-945A-7871DA5D5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29</xdr:row>
      <xdr:rowOff>133350</xdr:rowOff>
    </xdr:from>
    <xdr:to>
      <xdr:col>9</xdr:col>
      <xdr:colOff>495300</xdr:colOff>
      <xdr:row>43</xdr:row>
      <xdr:rowOff>31750</xdr:rowOff>
    </xdr:to>
    <xdr:graphicFrame macro="">
      <xdr:nvGraphicFramePr>
        <xdr:cNvPr id="13" name="Chart 12">
          <a:extLst>
            <a:ext uri="{FF2B5EF4-FFF2-40B4-BE49-F238E27FC236}">
              <a16:creationId xmlns:a16="http://schemas.microsoft.com/office/drawing/2014/main" id="{E481C864-1827-4948-A6DD-9BCB568EA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143098</xdr:colOff>
      <xdr:row>10</xdr:row>
      <xdr:rowOff>116358</xdr:rowOff>
    </xdr:from>
    <xdr:to>
      <xdr:col>2</xdr:col>
      <xdr:colOff>651098</xdr:colOff>
      <xdr:row>17</xdr:row>
      <xdr:rowOff>2057</xdr:rowOff>
    </xdr:to>
    <mc:AlternateContent xmlns:mc="http://schemas.openxmlformats.org/markup-compatibility/2006">
      <mc:Choice xmlns:a14="http://schemas.microsoft.com/office/drawing/2010/main" Requires="a14">
        <xdr:graphicFrame macro="">
          <xdr:nvGraphicFramePr>
            <xdr:cNvPr id="16" name="Category 1">
              <a:extLst>
                <a:ext uri="{FF2B5EF4-FFF2-40B4-BE49-F238E27FC236}">
                  <a16:creationId xmlns:a16="http://schemas.microsoft.com/office/drawing/2014/main" id="{80B5C1F3-B385-45BB-8498-A0F01D9A729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3098" y="2173400"/>
              <a:ext cx="1831662" cy="1325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107323</xdr:colOff>
      <xdr:row>17</xdr:row>
      <xdr:rowOff>97841</xdr:rowOff>
    </xdr:from>
    <xdr:to>
      <xdr:col>2</xdr:col>
      <xdr:colOff>615323</xdr:colOff>
      <xdr:row>32</xdr:row>
      <xdr:rowOff>89435</xdr:rowOff>
    </xdr:to>
    <mc:AlternateContent xmlns:mc="http://schemas.openxmlformats.org/markup-compatibility/2006">
      <mc:Choice xmlns:a14="http://schemas.microsoft.com/office/drawing/2010/main" Requires="a14">
        <xdr:graphicFrame macro="">
          <xdr:nvGraphicFramePr>
            <xdr:cNvPr id="18" name="Sub-Category 1">
              <a:extLst>
                <a:ext uri="{FF2B5EF4-FFF2-40B4-BE49-F238E27FC236}">
                  <a16:creationId xmlns:a16="http://schemas.microsoft.com/office/drawing/2014/main" id="{739AA8B5-8986-4A66-9BA7-0B1F2747D54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07323" y="3594813"/>
              <a:ext cx="1831662" cy="3077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80493</xdr:colOff>
      <xdr:row>32</xdr:row>
      <xdr:rowOff>160985</xdr:rowOff>
    </xdr:from>
    <xdr:to>
      <xdr:col>2</xdr:col>
      <xdr:colOff>585631</xdr:colOff>
      <xdr:row>43</xdr:row>
      <xdr:rowOff>11180</xdr:rowOff>
    </xdr:to>
    <mc:AlternateContent xmlns:mc="http://schemas.openxmlformats.org/markup-compatibility/2006">
      <mc:Choice xmlns:a14="http://schemas.microsoft.com/office/drawing/2010/main" Requires="a14">
        <xdr:graphicFrame macro="">
          <xdr:nvGraphicFramePr>
            <xdr:cNvPr id="20" name="YEAR 1">
              <a:extLst>
                <a:ext uri="{FF2B5EF4-FFF2-40B4-BE49-F238E27FC236}">
                  <a16:creationId xmlns:a16="http://schemas.microsoft.com/office/drawing/2014/main" id="{74291B69-C336-4BBA-808E-F70A3E478D1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0493" y="6743520"/>
              <a:ext cx="1828800" cy="2112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99.256487615741" createdVersion="8" refreshedVersion="8" minRefreshableVersion="3" recordCount="1010" xr:uid="{85147B21-F873-42C4-9520-4AFA26F7D204}">
  <cacheSource type="worksheet">
    <worksheetSource ref="A1:R1011" sheet="GlobalMart_Sales_Data"/>
  </cacheSource>
  <cacheFields count="18">
    <cacheField name="Order ID" numFmtId="0">
      <sharedItems/>
    </cacheField>
    <cacheField name="Order Date" numFmtId="14">
      <sharedItems containsDate="1" containsBlank="1" containsMixedTypes="1" minDate="2022-12-04T00:00:00" maxDate="2024-12-04T00:00:00"/>
    </cacheField>
    <cacheField name="Ship Date" numFmtId="14">
      <sharedItems containsSemiMixedTypes="0" containsNonDate="0" containsDate="1" containsString="0" minDate="2022-12-06T00:00:00" maxDate="2024-12-13T00:00:00"/>
    </cacheField>
    <cacheField name="YEAR" numFmtId="14">
      <sharedItems count="5">
        <s v="2024"/>
        <s v="2023"/>
        <s v="1900"/>
        <s v="2022"/>
        <s v="Not a Date"/>
      </sharedItems>
    </cacheField>
    <cacheField name="Month" numFmtId="14">
      <sharedItems count="12">
        <s v="January"/>
        <s v="April"/>
        <s v="August"/>
        <s v="June"/>
        <s v="October"/>
        <s v="November"/>
        <s v="February"/>
        <s v="July"/>
        <s v="May"/>
        <s v="December"/>
        <s v="March"/>
        <s v="September"/>
      </sharedItems>
    </cacheField>
    <cacheField name="Quarter" numFmtId="14">
      <sharedItems/>
    </cacheField>
    <cacheField name="Lead_Time" numFmtId="2">
      <sharedItems containsMixedTypes="1" containsNumber="1" containsInteger="1" minValue="0" maxValue="45609"/>
    </cacheField>
    <cacheField name="Region" numFmtId="0">
      <sharedItems count="5">
        <s v="East"/>
        <s v="West"/>
        <s v="Central"/>
        <s v="South"/>
        <s v="Not Provided"/>
      </sharedItems>
    </cacheField>
    <cacheField name="State" numFmtId="0">
      <sharedItems count="8">
        <s v="New York"/>
        <s v="Illinois"/>
        <s v="Florida"/>
        <s v="California"/>
        <s v="Pennsylvania"/>
        <s v="Texas"/>
        <s v="Ohio"/>
        <s v="Michigan"/>
      </sharedItems>
    </cacheField>
    <cacheField name="Category" numFmtId="0">
      <sharedItems count="3">
        <s v="Furniture"/>
        <s v="Office Supplies"/>
        <s v="Technology"/>
      </sharedItems>
    </cacheField>
    <cacheField name="Sub-Category" numFmtId="0">
      <sharedItems count="9">
        <s v="Tables"/>
        <s v="Paper"/>
        <s v="Accessories"/>
        <s v="Bookcases"/>
        <s v="Pens"/>
        <s v="Phones"/>
        <s v="Laptops"/>
        <s v="Chairs"/>
        <s v="Binders"/>
      </sharedItems>
    </cacheField>
    <cacheField name="Product Name" numFmtId="0">
      <sharedItems/>
    </cacheField>
    <cacheField name="Sales" numFmtId="164">
      <sharedItems containsMixedTypes="1" containsNumber="1" minValue="20.46" maxValue="500000" count="947">
        <n v="346.03"/>
        <n v="285.45"/>
        <n v="349.32"/>
        <n v="983.58"/>
        <n v="332.89"/>
        <n v="590.95000000000005"/>
        <n v="638.1"/>
        <n v="955.58"/>
        <n v="216.12"/>
        <n v="501.55"/>
        <n v="51.69"/>
        <n v="159.31"/>
        <n v="744.12"/>
        <n v="673.61"/>
        <n v="920.75"/>
        <n v="823.23"/>
        <n v="768.87"/>
        <n v="682.23"/>
        <n v="611.53"/>
        <n v="334.82"/>
        <n v="784.24"/>
        <n v="183.05"/>
        <n v="330.1"/>
        <n v="387.13"/>
        <n v="226.4"/>
        <n v="419.98"/>
        <n v="160.34"/>
        <n v="547.98"/>
        <n v="959.13"/>
        <n v="128.49"/>
        <n v="60.73"/>
        <n v="599.55999999999995"/>
        <n v="371.72"/>
        <n v="259.92"/>
        <n v="250.66"/>
        <n v="768.67"/>
        <n v="364.4"/>
        <n v="696.8"/>
        <n v="146.61000000000001"/>
        <n v="396.38"/>
        <n v="276.66000000000003"/>
        <n v="434.12"/>
        <n v="309.52999999999997"/>
        <n v="240.51"/>
        <n v="736.79"/>
        <n v="88.79"/>
        <n v="160.83000000000001"/>
        <n v="881.62"/>
        <n v="699.72"/>
        <n v="619.5"/>
        <n v="580.59"/>
        <n v="371"/>
        <n v="563.29"/>
        <n v="262.32"/>
        <n v="841.4"/>
        <n v="643.22"/>
        <n v="945.08"/>
        <n v="366.31"/>
        <n v="327.83"/>
        <s v="Null"/>
        <n v="791.06"/>
        <n v="706.68"/>
        <n v="166.28"/>
        <n v="251.05"/>
        <n v="38.56"/>
        <n v="394.01"/>
        <n v="50"/>
        <n v="274.42"/>
        <n v="583.97"/>
        <n v="402.44"/>
        <n v="36.19"/>
        <n v="912.55"/>
        <n v="454.8"/>
        <n v="976.59"/>
        <n v="884.86"/>
        <n v="176.33"/>
        <n v="782.81"/>
        <n v="700.38"/>
        <n v="625"/>
        <n v="186.42"/>
        <n v="451.48"/>
        <n v="810.3"/>
        <n v="832.06"/>
        <n v="463.19"/>
        <n v="882.87"/>
        <n v="635.44000000000005"/>
        <n v="553.08000000000004"/>
        <n v="832.79"/>
        <n v="670.91"/>
        <n v="257.67"/>
        <n v="507.83"/>
        <n v="142.16"/>
        <n v="9999"/>
        <n v="238.61"/>
        <n v="490.84"/>
        <n v="540.64"/>
        <n v="851.58"/>
        <n v="502.67"/>
        <n v="281.45"/>
        <n v="561.08000000000004"/>
        <n v="956.97"/>
        <n v="218.36"/>
        <n v="849.54"/>
        <n v="595.66999999999996"/>
        <n v="674.76"/>
        <n v="562.79999999999995"/>
        <n v="275.35000000000002"/>
        <n v="473.16"/>
        <n v="350.98"/>
        <n v="615.13"/>
        <n v="378.49"/>
        <n v="644.17999999999995"/>
        <n v="795.72"/>
        <n v="917.3"/>
        <n v="696.15"/>
        <n v="754.21"/>
        <n v="536.49"/>
        <n v="466.71"/>
        <n v="685.11"/>
        <n v="209.72"/>
        <n v="672.58"/>
        <n v="80.95"/>
        <n v="744.4"/>
        <n v="758.39"/>
        <n v="886.63"/>
        <n v="337.68"/>
        <n v="807.72"/>
        <n v="178.02"/>
        <n v="42.84"/>
        <n v="630.29"/>
        <n v="59.91"/>
        <n v="443.03"/>
        <n v="867.07"/>
        <n v="518.47"/>
        <n v="968.17"/>
        <n v="609.65"/>
        <n v="485.85"/>
        <n v="453.79"/>
        <n v="262.94"/>
        <n v="315.52999999999997"/>
        <n v="547.1"/>
        <n v="508.47"/>
        <n v="697.91"/>
        <n v="356.81"/>
        <n v="762.55"/>
        <n v="489.79"/>
        <n v="43.47"/>
        <n v="43.34"/>
        <n v="116.79"/>
        <n v="341.75"/>
        <n v="723.89"/>
        <n v="180.96"/>
        <n v="568"/>
        <n v="605.52"/>
        <n v="333.13"/>
        <n v="226.41"/>
        <n v="496.76"/>
        <n v="564.08000000000004"/>
        <n v="556.70000000000005"/>
        <n v="141.97999999999999"/>
        <n v="674.44"/>
        <n v="768.69"/>
        <n v="663.32"/>
        <n v="343.39"/>
        <n v="785"/>
        <n v="569.07000000000005"/>
        <n v="977.65"/>
        <n v="197.64"/>
        <n v="510.44"/>
        <n v="422.9"/>
        <n v="946.34"/>
        <n v="631.66"/>
        <n v="294.11"/>
        <n v="41.33"/>
        <n v="920.92"/>
        <n v="420.95"/>
        <n v="719.92"/>
        <n v="932.23"/>
        <n v="99999"/>
        <n v="115.04"/>
        <n v="504.88"/>
        <n v="375.81"/>
        <n v="215.98"/>
        <n v="471.95"/>
        <n v="171.44"/>
        <n v="801.49"/>
        <n v="563.27"/>
        <n v="186.09"/>
        <n v="470.29"/>
        <n v="503.09"/>
        <n v="134.49"/>
        <n v="331.04"/>
        <n v="387.62"/>
        <n v="47.83"/>
        <n v="518.11"/>
        <n v="372.13"/>
        <n v="470.46"/>
        <n v="654.09"/>
        <n v="309.52"/>
        <n v="124.59"/>
        <n v="986.64"/>
        <n v="838.58"/>
        <n v="491.8"/>
        <n v="394.83"/>
        <n v="117.41"/>
        <n v="43.52"/>
        <n v="405.07"/>
        <n v="105"/>
        <n v="851.73"/>
        <n v="61.95"/>
        <n v="953.34"/>
        <n v="746.68"/>
        <n v="632.36"/>
        <n v="855.27"/>
        <n v="818.94"/>
        <n v="960.7"/>
        <n v="165.07"/>
        <n v="658.79"/>
        <n v="109.36"/>
        <n v="244.58"/>
        <n v="356.16"/>
        <n v="42.78"/>
        <n v="882.89"/>
        <n v="484.76"/>
        <n v="593.23"/>
        <n v="20.54"/>
        <n v="292.70999999999998"/>
        <n v="586.32000000000005"/>
        <n v="363.42"/>
        <n v="531.21"/>
        <n v="706.43"/>
        <n v="349.27"/>
        <n v="218.93"/>
        <n v="353.56"/>
        <n v="916.86"/>
        <n v="227"/>
        <n v="884.07"/>
        <n v="675.72"/>
        <n v="766.22"/>
        <n v="260.26"/>
        <n v="80.27"/>
        <n v="420"/>
        <n v="500000"/>
        <n v="708.17"/>
        <n v="242.53"/>
        <n v="796.03"/>
        <n v="620.35"/>
        <n v="841.85"/>
        <n v="915.09"/>
        <n v="892.28"/>
        <n v="944.67"/>
        <n v="240.25"/>
        <n v="701.55"/>
        <n v="100"/>
        <n v="240.03"/>
        <n v="144.05000000000001"/>
        <n v="497.87"/>
        <n v="186.81"/>
        <n v="509.19"/>
        <n v="492.78"/>
        <n v="890.97"/>
        <n v="522.39"/>
        <n v="526.69000000000005"/>
        <n v="117.52"/>
        <n v="87.02"/>
        <n v="163.69"/>
        <n v="422.46"/>
        <n v="66.489999999999995"/>
        <n v="575.01"/>
        <n v="591.24"/>
        <n v="395.08"/>
        <n v="914.49"/>
        <n v="321.66000000000003"/>
        <n v="724.29"/>
        <n v="697.87"/>
        <n v="635.08000000000004"/>
        <n v="166.43"/>
        <n v="907.99"/>
        <n v="307.26"/>
        <n v="86.6"/>
        <n v="561.29"/>
        <n v="316.58999999999997"/>
        <n v="746.65"/>
        <n v="65.55"/>
        <n v="428.75"/>
        <n v="950.68"/>
        <n v="381.47"/>
        <n v="931.09"/>
        <n v="376.88"/>
        <n v="565.16999999999996"/>
        <n v="145.19999999999999"/>
        <n v="169.39"/>
        <n v="666.7"/>
        <n v="423.23"/>
        <n v="444.15"/>
        <n v="366.17"/>
        <n v="647.54"/>
        <n v="330.05"/>
        <n v="191.25"/>
        <n v="624.22"/>
        <n v="424.56"/>
        <n v="989.32"/>
        <n v="602.42999999999995"/>
        <n v="901.97"/>
        <n v="86.47"/>
        <n v="857.34"/>
        <n v="788.27"/>
        <n v="557.57000000000005"/>
        <n v="569.14"/>
        <n v="608.65"/>
        <n v="500.28"/>
        <n v="342.02"/>
        <n v="321.12"/>
        <n v="473.94"/>
        <n v="698.79"/>
        <n v="388.02"/>
        <n v="77.78"/>
        <n v="920.64"/>
        <n v="325.57"/>
        <n v="514.17999999999995"/>
        <n v="706.02"/>
        <n v="245.24"/>
        <n v="41.13"/>
        <n v="416.45"/>
        <n v="645.86"/>
        <n v="597.22"/>
        <n v="26.6"/>
        <n v="973.3"/>
        <n v="585.64"/>
        <n v="417.49"/>
        <n v="844.82"/>
        <n v="712.55"/>
        <n v="287.95999999999998"/>
        <n v="104.06"/>
        <n v="584.58000000000004"/>
        <n v="784"/>
        <n v="826.63"/>
        <n v="146.68"/>
        <n v="873.57"/>
        <n v="565.39"/>
        <n v="279.77999999999997"/>
        <n v="396.49"/>
        <n v="79.94"/>
        <n v="658.77"/>
        <n v="174.29"/>
        <n v="555.02"/>
        <n v="815.94"/>
        <n v="659.29"/>
        <n v="599.04999999999995"/>
        <n v="800.72"/>
        <n v="973.79"/>
        <n v="61.12"/>
        <n v="756.35"/>
        <n v="322.54000000000002"/>
        <n v="66.95"/>
        <n v="35.590000000000003"/>
        <n v="744.15"/>
        <n v="311.39"/>
        <n v="801.45"/>
        <n v="79.2"/>
        <n v="602.27"/>
        <n v="98.01"/>
        <n v="108.23"/>
        <n v="388.7"/>
        <n v="849.55"/>
        <n v="50.72"/>
        <n v="315.14999999999998"/>
        <n v="520.29999999999995"/>
        <n v="246.42"/>
        <n v="393.3"/>
        <n v="913.57"/>
        <n v="471.06"/>
        <n v="501.69"/>
        <n v="159.21"/>
        <n v="382.03"/>
        <n v="346.61"/>
        <n v="264.97000000000003"/>
        <n v="694.19"/>
        <n v="711.37"/>
        <n v="842.68"/>
        <n v="382.81"/>
        <n v="177.83"/>
        <n v="853"/>
        <n v="317.3"/>
        <n v="29.36"/>
        <n v="524.1"/>
        <n v="50.54"/>
        <n v="425.69"/>
        <n v="781.92"/>
        <n v="494.57"/>
        <n v="276.48"/>
        <n v="428.39"/>
        <n v="843.79"/>
        <n v="33.97"/>
        <n v="143.96"/>
        <n v="594.78"/>
        <n v="457.43"/>
        <n v="849.26"/>
        <n v="392.54"/>
        <n v="309.7"/>
        <n v="867.22"/>
        <n v="236.52"/>
        <n v="506.57"/>
        <n v="748.68"/>
        <n v="443.85"/>
        <n v="299.24"/>
        <n v="582.74"/>
        <n v="309.12"/>
        <n v="647.28"/>
        <n v="533.51"/>
        <n v="66.17"/>
        <n v="89.38"/>
        <n v="415.28"/>
        <n v="348.69"/>
        <n v="624.94000000000005"/>
        <n v="57.01"/>
        <n v="656"/>
        <n v="893.25"/>
        <n v="277.42"/>
        <n v="355.83"/>
        <n v="180.57"/>
        <n v="312.86"/>
        <n v="151.72999999999999"/>
        <n v="484.51"/>
        <n v="509.53"/>
        <n v="647.99"/>
        <n v="691.71"/>
        <n v="611.37"/>
        <n v="132.26"/>
        <n v="513.38"/>
        <n v="901.35"/>
        <n v="837.45"/>
        <n v="852.66"/>
        <n v="86.86"/>
        <n v="858.08"/>
        <n v="999.41"/>
        <n v="214.3"/>
        <n v="858.29"/>
        <n v="505.86"/>
        <n v="285.74"/>
        <n v="67.650000000000006"/>
        <n v="822.59"/>
        <n v="684.6"/>
        <n v="825"/>
        <n v="308.95999999999998"/>
        <n v="899.85"/>
        <n v="510.09"/>
        <n v="49.67"/>
        <n v="591.61"/>
        <n v="884.4"/>
        <n v="412.76"/>
        <n v="971.55"/>
        <n v="373.43"/>
        <n v="654.61"/>
        <n v="923.22"/>
        <n v="203.42"/>
        <n v="298.92"/>
        <n v="685.53"/>
        <n v="751.92"/>
        <n v="654.37"/>
        <n v="355.11"/>
        <n v="91.3"/>
        <n v="783.83"/>
        <n v="167.74"/>
        <n v="648.09"/>
        <n v="713.79"/>
        <n v="822.61"/>
        <n v="245.37"/>
        <n v="558.45000000000005"/>
        <n v="889.98"/>
        <n v="958.23"/>
        <n v="289.17"/>
        <n v="839.38"/>
        <n v="383.88"/>
        <n v="417.16"/>
        <n v="937.34"/>
        <n v="376.79"/>
        <n v="806.91"/>
        <n v="438.65"/>
        <n v="703.53"/>
        <n v="505.98"/>
        <n v="77.12"/>
        <n v="202.08"/>
        <n v="366.68"/>
        <n v="152.66999999999999"/>
        <n v="461.9"/>
        <n v="304.75"/>
        <n v="511.74"/>
        <n v="755.85"/>
        <n v="871.42"/>
        <n v="527.23"/>
        <n v="102.78"/>
        <n v="807.07"/>
        <n v="361.81"/>
        <n v="583.48"/>
        <n v="878.08"/>
        <n v="657.01"/>
        <n v="238.28"/>
        <n v="87.76"/>
        <n v="167.57"/>
        <n v="107.86"/>
        <n v="493.63"/>
        <n v="796.89"/>
        <n v="171.52"/>
        <n v="866.35"/>
        <n v="36.58"/>
        <n v="950.53"/>
        <n v="408.89"/>
        <n v="694.43"/>
        <n v="62.53"/>
        <n v="218.72"/>
        <n v="498.55"/>
        <n v="944.56"/>
        <n v="525.71"/>
        <n v="96.51"/>
        <n v="664.39"/>
        <n v="980.06"/>
        <n v="919.54"/>
        <n v="863.52"/>
        <n v="331.78"/>
        <n v="458.83"/>
        <n v="927.19"/>
        <n v="884.5"/>
        <n v="549.04999999999995"/>
        <n v="524.25"/>
        <n v="363.4"/>
        <n v="911.17"/>
        <n v="286.32"/>
        <n v="284.77"/>
        <n v="948.61"/>
        <n v="638.57000000000005"/>
        <n v="844.4"/>
        <n v="101.39"/>
        <n v="129"/>
        <n v="816.52"/>
        <n v="894.47"/>
        <n v="764.67"/>
        <n v="108.21"/>
        <n v="576.05999999999995"/>
        <n v="264.22000000000003"/>
        <n v="935.44"/>
        <n v="436.47"/>
        <n v="394.11"/>
        <n v="644.96"/>
        <n v="300.77999999999997"/>
        <n v="409.03"/>
        <n v="226.3"/>
        <n v="544.46"/>
        <n v="438.37"/>
        <n v="428.02"/>
        <n v="580.49"/>
        <n v="797.41"/>
        <n v="951.16"/>
        <n v="100.73"/>
        <n v="637.92999999999995"/>
        <n v="494.09"/>
        <n v="710.44"/>
        <n v="73.290000000000006"/>
        <n v="684.74"/>
        <n v="304.7"/>
        <n v="827.54"/>
        <n v="77.5"/>
        <n v="794.57"/>
        <n v="686.34"/>
        <n v="133.58000000000001"/>
        <n v="495.29"/>
        <n v="429.64"/>
        <n v="235.75"/>
        <n v="339.83"/>
        <n v="238.78"/>
        <n v="144.74"/>
        <n v="531.20000000000005"/>
        <n v="828.9"/>
        <n v="203.99"/>
        <n v="290.14999999999998"/>
        <n v="217.58"/>
        <n v="764.37"/>
        <n v="76.92"/>
        <n v="252.25"/>
        <n v="257.76"/>
        <n v="663.54"/>
        <n v="639.25"/>
        <n v="853.58"/>
        <n v="340.18"/>
        <n v="312.58"/>
        <n v="957.4"/>
        <n v="744.83"/>
        <n v="966.25"/>
        <n v="273.04000000000002"/>
        <n v="301.36"/>
        <n v="896.81"/>
        <n v="71.34"/>
        <n v="562.59"/>
        <n v="269.43"/>
        <n v="458.74"/>
        <n v="848.53"/>
        <n v="734.73"/>
        <n v="480.63"/>
        <n v="248.2"/>
        <n v="109.29"/>
        <n v="29.88"/>
        <n v="262.61"/>
        <n v="901.22"/>
        <n v="229.13"/>
        <n v="269.3"/>
        <n v="253.23"/>
        <n v="689.76"/>
        <n v="125.7"/>
        <n v="411.34"/>
        <n v="882.16"/>
        <n v="795.71"/>
        <n v="527.16999999999996"/>
        <n v="198.8"/>
        <n v="651.47"/>
        <n v="764.66"/>
        <n v="575.75"/>
        <n v="790.64"/>
        <n v="912.95"/>
        <n v="938.54"/>
        <n v="980.96"/>
        <n v="593.54"/>
        <n v="439.95"/>
        <n v="823.87"/>
        <n v="829.02"/>
        <n v="949.33"/>
        <n v="934.17"/>
        <n v="688.47"/>
        <n v="467.63"/>
        <n v="675.6"/>
        <n v="941.96"/>
        <n v="81.180000000000007"/>
        <n v="970.33"/>
        <n v="503.64"/>
        <n v="134.65"/>
        <n v="650.89"/>
        <n v="120.41"/>
        <n v="939.07"/>
        <n v="411.03"/>
        <n v="562.20000000000005"/>
        <n v="953.03"/>
        <n v="62.32"/>
        <n v="673.76"/>
        <n v="741.8"/>
        <n v="518.58000000000004"/>
        <n v="169.57"/>
        <n v="504.9"/>
        <n v="420.13"/>
        <n v="496.88"/>
        <n v="680.1"/>
        <n v="963.68"/>
        <n v="861.39"/>
        <n v="456"/>
        <n v="462.11"/>
        <n v="196.4"/>
        <n v="926.47"/>
        <n v="273.49"/>
        <n v="488.86"/>
        <n v="168.23"/>
        <n v="928.68"/>
        <n v="287.95"/>
        <n v="162.08000000000001"/>
        <n v="615.35"/>
        <n v="481.85"/>
        <n v="380.09"/>
        <n v="518.99"/>
        <n v="693.84"/>
        <n v="281.01"/>
        <n v="713.56"/>
        <n v="99.37"/>
        <n v="797.22"/>
        <n v="85.54"/>
        <n v="125.28"/>
        <n v="245.49"/>
        <n v="693.19"/>
        <n v="640.66999999999996"/>
        <n v="746.84"/>
        <n v="832.04"/>
        <n v="367.53"/>
        <n v="273.23"/>
        <n v="265.64"/>
        <n v="385.59"/>
        <n v="467.6"/>
        <n v="24.41"/>
        <n v="380.67"/>
        <n v="616.58000000000004"/>
        <n v="399.11"/>
        <n v="802.3"/>
        <n v="451.17"/>
        <n v="427.77"/>
        <n v="857.45"/>
        <n v="38.47"/>
        <n v="27.45"/>
        <n v="633.21"/>
        <n v="142.19999999999999"/>
        <n v="366.91"/>
        <n v="447.66"/>
        <n v="973.84"/>
        <n v="776.41"/>
        <n v="763.98"/>
        <n v="74.5"/>
        <n v="197.36"/>
        <n v="533.19000000000005"/>
        <n v="970.28"/>
        <n v="884.45"/>
        <n v="725.71"/>
        <n v="331.71"/>
        <n v="561"/>
        <n v="515.67999999999995"/>
        <n v="465.71"/>
        <n v="596.66999999999996"/>
        <n v="191.36"/>
        <n v="603.67999999999995"/>
        <n v="994.5"/>
        <n v="749.23"/>
        <n v="635.9"/>
        <n v="962.79"/>
        <n v="178.78"/>
        <n v="464.36"/>
        <n v="842.79"/>
        <n v="822.62"/>
        <n v="726.12"/>
        <n v="284.06"/>
        <n v="877.58"/>
        <n v="491.66"/>
        <n v="118.38"/>
        <n v="451.11"/>
        <n v="64.62"/>
        <n v="88.48"/>
        <n v="20.46"/>
        <n v="917.15"/>
        <n v="201.32"/>
        <n v="895"/>
        <n v="890.29"/>
        <n v="620.98"/>
        <n v="94.21"/>
        <n v="252.48"/>
        <n v="55.31"/>
        <n v="926.86"/>
        <n v="914.6"/>
        <n v="788.87"/>
        <n v="975.5"/>
        <n v="615.4"/>
        <n v="738.34"/>
        <n v="773.19"/>
        <n v="674.95"/>
        <n v="420.47"/>
        <n v="395.85"/>
        <n v="86.35"/>
        <n v="537.98"/>
        <n v="702.3"/>
        <n v="164.68"/>
        <n v="631.76"/>
        <n v="771.63"/>
        <n v="129.78"/>
        <n v="452.89"/>
        <n v="37.4"/>
        <n v="353.37"/>
        <n v="445.81"/>
        <n v="208.92"/>
        <n v="559.32000000000005"/>
        <n v="577.44000000000005"/>
        <n v="933.71"/>
        <n v="133.4"/>
        <n v="132.96"/>
        <n v="949.53"/>
        <n v="295.60000000000002"/>
        <n v="241.33"/>
        <n v="690.3"/>
        <n v="645.16999999999996"/>
        <n v="535.83000000000004"/>
        <n v="511.48"/>
        <n v="715.17"/>
        <n v="869.3"/>
        <n v="129.35"/>
        <n v="582.46"/>
        <n v="299.64"/>
        <n v="933.28"/>
        <n v="278.16000000000003"/>
        <n v="666.98"/>
        <n v="598.67999999999995"/>
        <n v="47.32"/>
        <n v="699.65"/>
        <n v="923.28"/>
        <n v="875.62"/>
        <n v="293.45999999999998"/>
        <n v="392.69"/>
        <n v="530.04999999999995"/>
        <n v="703.77"/>
        <n v="890.65"/>
        <n v="746.93"/>
        <n v="562.48"/>
        <n v="721.67"/>
        <n v="29.7"/>
        <n v="770.98"/>
        <n v="400.84"/>
        <n v="950.89"/>
        <n v="948.71"/>
        <n v="188.26"/>
        <n v="115.08"/>
        <n v="690.93"/>
        <n v="282.01"/>
        <n v="156.52000000000001"/>
        <n v="80.790000000000006"/>
        <n v="844.23"/>
        <n v="284.97000000000003"/>
        <n v="980.69"/>
        <n v="646.63"/>
        <n v="413.58"/>
        <n v="243.18"/>
        <n v="908.91"/>
        <n v="276.33999999999997"/>
        <n v="196.9"/>
        <n v="827.78"/>
        <n v="957.69"/>
        <n v="946.65"/>
        <n v="556.97"/>
        <n v="181.96"/>
        <n v="924.77"/>
        <n v="372"/>
        <n v="360.58"/>
        <n v="733.82"/>
        <n v="804.58"/>
        <n v="63.47"/>
        <n v="612.33000000000004"/>
        <n v="647.92999999999995"/>
        <n v="930.23"/>
        <n v="832.77"/>
        <n v="41.43"/>
        <n v="424.64"/>
        <n v="216.16"/>
        <n v="666.82"/>
        <n v="82.56"/>
        <n v="240.53"/>
        <n v="192.35"/>
        <n v="985.27"/>
        <n v="468.76"/>
        <n v="66.12"/>
        <n v="519.41999999999996"/>
        <n v="312.43"/>
        <n v="540.32000000000005"/>
        <n v="407.43"/>
        <n v="180.85"/>
        <n v="511.54"/>
        <n v="654.19000000000005"/>
        <n v="425.57"/>
        <n v="865.39"/>
        <n v="651.94000000000005"/>
        <n v="271.02"/>
        <n v="467.27"/>
        <n v="273.88"/>
        <n v="745.48"/>
        <n v="899.25"/>
        <n v="493.38"/>
        <n v="723.03"/>
        <n v="461.57"/>
        <n v="755.03"/>
        <n v="731.47"/>
        <n v="69.13"/>
        <n v="430.11"/>
        <n v="709.32"/>
        <n v="385.22"/>
        <n v="907.97"/>
        <n v="208.47"/>
        <n v="292.17"/>
        <n v="126.35"/>
        <n v="187.28"/>
        <n v="306.5"/>
        <n v="401.94"/>
        <n v="259.19"/>
        <n v="846.07"/>
        <n v="446.14"/>
        <n v="256.24"/>
        <n v="778.36"/>
        <n v="441.4"/>
        <n v="503.48"/>
        <n v="705.3"/>
        <n v="475.04"/>
        <n v="648.11"/>
        <n v="520.15"/>
        <n v="35.1"/>
        <n v="395.47"/>
        <n v="363.78"/>
        <n v="625.4"/>
        <n v="262.58"/>
        <n v="308.33"/>
        <n v="291.05"/>
        <n v="550.04"/>
        <n v="292.76"/>
        <n v="824.6"/>
        <n v="987.09"/>
        <n v="214.08"/>
        <n v="398.47"/>
        <n v="528.95000000000005"/>
        <n v="899.05"/>
        <n v="905.01"/>
        <n v="949.78"/>
        <n v="615.55999999999995"/>
        <n v="102.85"/>
        <n v="116.03"/>
        <n v="365.15"/>
        <n v="60.86"/>
        <n v="384.21"/>
        <n v="472.42"/>
        <n v="713.41"/>
        <n v="479.43"/>
        <n v="50.18"/>
        <n v="534.69000000000005"/>
        <n v="599.29999999999995"/>
        <n v="378.58"/>
        <n v="979.39"/>
        <n v="933.12"/>
        <n v="681.17"/>
        <n v="668.57"/>
        <n v="91.17"/>
        <n v="603.69000000000005"/>
        <n v="989.22"/>
        <n v="780.86"/>
        <n v="729.49"/>
        <n v="901.13"/>
        <n v="686.14"/>
        <n v="627.05999999999995"/>
        <n v="179.52"/>
        <n v="883.19"/>
        <n v="39.58"/>
        <n v="204.25"/>
        <n v="981.28"/>
        <n v="486.5"/>
        <n v="219.37"/>
        <n v="742.98"/>
        <n v="216.99"/>
        <n v="771.25"/>
        <n v="677.48"/>
        <n v="903.64"/>
        <n v="594.98"/>
        <n v="296.87"/>
        <n v="64.03"/>
        <n v="339.92"/>
        <n v="704.1"/>
        <n v="555.1"/>
        <n v="480.65"/>
        <n v="519.51"/>
        <n v="91.09"/>
        <n v="203.17"/>
        <n v="201.12"/>
        <n v="773.46"/>
        <n v="376.31"/>
        <n v="587"/>
      </sharedItems>
    </cacheField>
    <cacheField name="Quantity" numFmtId="2">
      <sharedItems containsMixedTypes="1" containsNumber="1" containsInteger="1" minValue="1" maxValue="10"/>
    </cacheField>
    <cacheField name="Discount" numFmtId="10">
      <sharedItems containsSemiMixedTypes="0" containsString="0" containsNumber="1" minValue="-5" maxValue="0.5"/>
    </cacheField>
    <cacheField name="Profit" numFmtId="164">
      <sharedItems containsSemiMixedTypes="0" containsString="0" containsNumber="1" minValue="-25.55" maxValue="962.9"/>
    </cacheField>
    <cacheField name="Cost " numFmtId="164">
      <sharedItems containsMixedTypes="1" containsNumber="1" minValue="-376.74" maxValue="499581.1"/>
    </cacheField>
    <cacheField name="PROFIT/LOSS" numFmtId="0">
      <sharedItems/>
    </cacheField>
  </cacheFields>
  <extLst>
    <ext xmlns:x14="http://schemas.microsoft.com/office/spreadsheetml/2009/9/main" uri="{725AE2AE-9491-48be-B2B4-4EB974FC3084}">
      <x14:pivotCacheDefinition pivotCacheId="4483683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12.288411689813" createdVersion="8" refreshedVersion="8" minRefreshableVersion="3" recordCount="1014" xr:uid="{4113FDF7-6F6A-4D7B-9B03-0ABE4E35631D}">
  <cacheSource type="worksheet">
    <worksheetSource ref="J1:J1048576" sheet="GlobalMart_Sales_Data"/>
  </cacheSource>
  <cacheFields count="1">
    <cacheField name="Category" numFmtId="0">
      <sharedItems containsBlank="1" containsMixedTypes="1" containsNumber="1" minValue="2.9999999999999658" maxValue="2.9999999999999658" count="5">
        <s v="Furniture"/>
        <s v="Office Supplies"/>
        <s v="Technology"/>
        <m/>
        <n v="2.9999999999999658"/>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0">
  <r>
    <s v="f35d7567-8740-4f17-9149-781548ea75ea"/>
    <d v="2024-01-29T00:00:00"/>
    <d v="2024-01-31T00:00:00"/>
    <x v="0"/>
    <x v="0"/>
    <s v="Q1"/>
    <n v="2"/>
    <x v="0"/>
    <x v="0"/>
    <x v="0"/>
    <x v="0"/>
    <s v="Tables manager"/>
    <x v="0"/>
    <n v="1"/>
    <n v="0.11"/>
    <n v="285.02999999999997"/>
    <n v="61"/>
    <s v="profit"/>
  </r>
  <r>
    <s v="6723104f-38a6-4359-9f3d-a1acf741b69a"/>
    <d v="2023-04-14T00:00:00"/>
    <d v="2023-04-14T00:00:00"/>
    <x v="1"/>
    <x v="1"/>
    <s v="Q2"/>
    <n v="0"/>
    <x v="1"/>
    <x v="1"/>
    <x v="1"/>
    <x v="1"/>
    <s v="Paper small"/>
    <x v="1"/>
    <n v="5"/>
    <n v="0.2"/>
    <n v="216.11"/>
    <n v="69.339999999999975"/>
    <s v="profit"/>
  </r>
  <r>
    <s v="814d782d-ff13-412a-8f7c-56d92272ed77"/>
    <d v="2024-01-10T00:00:00"/>
    <d v="2024-01-18T00:00:00"/>
    <x v="1"/>
    <x v="0"/>
    <s v="Q1"/>
    <n v="8"/>
    <x v="2"/>
    <x v="2"/>
    <x v="2"/>
    <x v="2"/>
    <s v="Accessories soldier"/>
    <x v="2"/>
    <n v="10"/>
    <n v="0.25"/>
    <n v="235.18"/>
    <n v="114.13999999999999"/>
    <s v="profit"/>
  </r>
  <r>
    <s v="5228c562-fa72-408c-8041-cc6b7c03032d"/>
    <d v="2023-04-10T00:00:00"/>
    <d v="2023-04-10T00:00:00"/>
    <x v="0"/>
    <x v="1"/>
    <s v="Q2"/>
    <n v="0"/>
    <x v="2"/>
    <x v="3"/>
    <x v="0"/>
    <x v="3"/>
    <s v="Bookcases factor"/>
    <x v="3"/>
    <n v="2"/>
    <n v="0.11"/>
    <n v="847.95"/>
    <n v="135.63"/>
    <s v="profit"/>
  </r>
  <r>
    <s v="a898b5a1-d458-498a-b30c-731691ed6f39"/>
    <d v="2024-08-23T00:00:00"/>
    <d v="2024-08-31T00:00:00"/>
    <x v="1"/>
    <x v="2"/>
    <s v="Q3"/>
    <n v="8"/>
    <x v="0"/>
    <x v="3"/>
    <x v="2"/>
    <x v="2"/>
    <s v="Accessories music"/>
    <x v="4"/>
    <n v="7"/>
    <n v="0.18"/>
    <n v="246.42"/>
    <n v="86.47"/>
    <s v="profit"/>
  </r>
  <r>
    <s v="e7726c9a-26b2-4d91-a5f6-21551fc57f82"/>
    <d v="2024-06-09T00:00:00"/>
    <d v="2024-06-17T00:00:00"/>
    <x v="0"/>
    <x v="3"/>
    <s v="Q3"/>
    <n v="8"/>
    <x v="2"/>
    <x v="1"/>
    <x v="1"/>
    <x v="4"/>
    <s v="Pens popular"/>
    <x v="5"/>
    <n v="4"/>
    <n v="0.18"/>
    <n v="471.79"/>
    <n v="119.16000000000003"/>
    <s v="profit"/>
  </r>
  <r>
    <s v="9dce4b16-d7de-48d9-b858-c06ce660cac1"/>
    <d v="2023-10-08T00:00:00"/>
    <d v="2023-10-15T00:00:00"/>
    <x v="0"/>
    <x v="4"/>
    <s v="Q4"/>
    <n v="7"/>
    <x v="2"/>
    <x v="1"/>
    <x v="1"/>
    <x v="4"/>
    <s v="Pens will"/>
    <x v="6"/>
    <n v="6"/>
    <n v="0.31"/>
    <n v="429.65"/>
    <n v="208.45000000000005"/>
    <s v="profit"/>
  </r>
  <r>
    <s v="cd3543a1-218c-412f-bbed-c966974bcad7"/>
    <d v="2024-11-08T00:00:00"/>
    <d v="2024-11-16T00:00:00"/>
    <x v="1"/>
    <x v="5"/>
    <s v="Q4"/>
    <n v="8"/>
    <x v="0"/>
    <x v="3"/>
    <x v="1"/>
    <x v="4"/>
    <s v="Pens blue"/>
    <x v="7"/>
    <n v="2"/>
    <n v="0.48"/>
    <n v="454.76"/>
    <n v="500.82000000000005"/>
    <s v="profit"/>
  </r>
  <r>
    <s v="67a463ea-8017-4fc1-b936-2f394ef5bb5c"/>
    <d v="2024-02-25T00:00:00"/>
    <d v="2024-02-25T00:00:00"/>
    <x v="0"/>
    <x v="6"/>
    <s v="Q1"/>
    <n v="0"/>
    <x v="3"/>
    <x v="0"/>
    <x v="2"/>
    <x v="5"/>
    <s v="Phones sea"/>
    <x v="8"/>
    <n v="5"/>
    <n v="0.47"/>
    <n v="70.33"/>
    <n v="145.79000000000002"/>
    <s v="profit"/>
  </r>
  <r>
    <s v="00ce44b1-48ae-46c5-9d30-ebf3554390f9"/>
    <d v="2023-08-10T00:00:00"/>
    <d v="2023-08-12T00:00:00"/>
    <x v="0"/>
    <x v="2"/>
    <s v="Q3"/>
    <n v="2"/>
    <x v="1"/>
    <x v="4"/>
    <x v="2"/>
    <x v="6"/>
    <s v="Laptops every"/>
    <x v="9"/>
    <n v="1"/>
    <n v="0.23"/>
    <n v="374.65"/>
    <n v="126.90000000000003"/>
    <s v="profit"/>
  </r>
  <r>
    <s v="ae941f3e-6f5d-4686-91e5-acb0983ac705"/>
    <d v="2023-11-18T00:00:00"/>
    <d v="2023-11-26T00:00:00"/>
    <x v="1"/>
    <x v="5"/>
    <s v="Q4"/>
    <n v="8"/>
    <x v="3"/>
    <x v="5"/>
    <x v="2"/>
    <x v="5"/>
    <s v="Phones natural"/>
    <x v="10"/>
    <n v="10"/>
    <n v="0.04"/>
    <n v="9.57"/>
    <n v="42.12"/>
    <s v="profit"/>
  </r>
  <r>
    <s v="5959a7b8-37c6-4bef-8c7e-742b8f04272c"/>
    <d v="2023-07-12T00:00:00"/>
    <d v="2023-07-14T00:00:00"/>
    <x v="1"/>
    <x v="7"/>
    <s v="Q3"/>
    <n v="2"/>
    <x v="1"/>
    <x v="6"/>
    <x v="0"/>
    <x v="7"/>
    <s v="Chairs according"/>
    <x v="11"/>
    <n v="8"/>
    <n v="0.44"/>
    <n v="47.75"/>
    <n v="111.56"/>
    <s v="profit"/>
  </r>
  <r>
    <s v="0fdd460f-ec19-4268-8b3f-66a45c0e4903"/>
    <d v="2023-05-03T00:00:00"/>
    <d v="2023-05-10T00:00:00"/>
    <x v="1"/>
    <x v="8"/>
    <s v="Q2"/>
    <n v="7"/>
    <x v="0"/>
    <x v="6"/>
    <x v="2"/>
    <x v="5"/>
    <s v="Phones different"/>
    <x v="12"/>
    <n v="3"/>
    <n v="7.0000000000000007E-2"/>
    <n v="667.57"/>
    <n v="76.549999999999955"/>
    <s v="profit"/>
  </r>
  <r>
    <s v="232b8645-3a7d-4fca-bc7f-5223546a572b"/>
    <d v="2023-06-15T00:00:00"/>
    <d v="2023-06-23T00:00:00"/>
    <x v="1"/>
    <x v="3"/>
    <s v="Q3"/>
    <n v="8"/>
    <x v="1"/>
    <x v="7"/>
    <x v="1"/>
    <x v="1"/>
    <s v="Paper keep"/>
    <x v="13"/>
    <n v="2"/>
    <n v="0.43"/>
    <n v="365.61"/>
    <n v="308"/>
    <s v="profit"/>
  </r>
  <r>
    <s v="5cb28f7b-35ed-4c12-8395-109cfc4b2555"/>
    <d v="2023-10-22T00:00:00"/>
    <d v="2023-10-23T00:00:00"/>
    <x v="1"/>
    <x v="4"/>
    <s v="Q4"/>
    <n v="1"/>
    <x v="2"/>
    <x v="3"/>
    <x v="2"/>
    <x v="2"/>
    <s v="Accessories fear"/>
    <x v="14"/>
    <n v="3"/>
    <n v="0.18"/>
    <n v="728.95"/>
    <n v="191.79999999999995"/>
    <s v="profit"/>
  </r>
  <r>
    <s v="21279f90-55a2-4152-88c7-c0ed4d4c99a8"/>
    <d v="2024-06-08T00:00:00"/>
    <d v="2024-06-11T00:00:00"/>
    <x v="1"/>
    <x v="3"/>
    <s v="Q3"/>
    <n v="3"/>
    <x v="3"/>
    <x v="3"/>
    <x v="2"/>
    <x v="6"/>
    <s v="Laptops which"/>
    <x v="15"/>
    <n v="3"/>
    <n v="0.3"/>
    <n v="556.75"/>
    <n v="266.48"/>
    <s v="profit"/>
  </r>
  <r>
    <s v="41163a8f-4670-40d5-b43d-842374155864"/>
    <d v="2023-12-17T00:00:00"/>
    <d v="2023-12-25T00:00:00"/>
    <x v="0"/>
    <x v="9"/>
    <s v="Q4"/>
    <n v="8"/>
    <x v="1"/>
    <x v="6"/>
    <x v="1"/>
    <x v="1"/>
    <s v="Paper night"/>
    <x v="16"/>
    <n v="10"/>
    <n v="0.41"/>
    <n v="437.56"/>
    <n v="331.31"/>
    <s v="profit"/>
  </r>
  <r>
    <s v="074da968-2056-4083-82ff-f10f3547bd38"/>
    <d v="2023-01-01T00:00:00"/>
    <d v="2023-01-05T00:00:00"/>
    <x v="1"/>
    <x v="0"/>
    <s v="Q1"/>
    <n v="4"/>
    <x v="3"/>
    <x v="1"/>
    <x v="1"/>
    <x v="4"/>
    <s v="Pens professor"/>
    <x v="17"/>
    <n v="1"/>
    <n v="0.47"/>
    <n v="346.81"/>
    <n v="335.42"/>
    <s v="profit"/>
  </r>
  <r>
    <s v="a45ea1e5-37ab-4b08-9d21-7d25f82c3819"/>
    <d v="2024-04-30T00:00:00"/>
    <d v="2024-05-06T00:00:00"/>
    <x v="1"/>
    <x v="8"/>
    <s v="Q2"/>
    <n v="6"/>
    <x v="0"/>
    <x v="3"/>
    <x v="0"/>
    <x v="7"/>
    <s v="Chairs direction"/>
    <x v="18"/>
    <n v="4"/>
    <n v="0.26"/>
    <n v="423.1"/>
    <n v="188.42999999999995"/>
    <s v="profit"/>
  </r>
  <r>
    <s v="d1b428bc-6c3c-44ea-a42a-8e5603178dcc"/>
    <d v="2023-11-30T00:00:00"/>
    <d v="2023-12-04T00:00:00"/>
    <x v="0"/>
    <x v="9"/>
    <s v="Q4"/>
    <n v="4"/>
    <x v="3"/>
    <x v="6"/>
    <x v="2"/>
    <x v="5"/>
    <s v="Phones least"/>
    <x v="19"/>
    <n v="7"/>
    <n v="0.22"/>
    <n v="215.45"/>
    <n v="119.37"/>
    <s v="profit"/>
  </r>
  <r>
    <s v="75ec0900-4e17-4667-9c07-fba7f70f97d2"/>
    <d v="2023-03-24T00:00:00"/>
    <d v="2023-03-31T00:00:00"/>
    <x v="1"/>
    <x v="10"/>
    <s v="Q2"/>
    <n v="7"/>
    <x v="1"/>
    <x v="5"/>
    <x v="2"/>
    <x v="5"/>
    <s v="Phones rock"/>
    <x v="20"/>
    <n v="9"/>
    <n v="0.46"/>
    <n v="400.81"/>
    <n v="383.43"/>
    <s v="profit"/>
  </r>
  <r>
    <s v="a73d7f48-3459-46e8-8eba-e9861f60f8f1"/>
    <d v="2024-09-25T00:00:00"/>
    <d v="2024-09-28T00:00:00"/>
    <x v="1"/>
    <x v="11"/>
    <s v="Q4"/>
    <n v="3"/>
    <x v="2"/>
    <x v="7"/>
    <x v="1"/>
    <x v="4"/>
    <s v="Pens imagine"/>
    <x v="21"/>
    <n v="9"/>
    <n v="0.02"/>
    <n v="163.41999999999999"/>
    <n v="19.630000000000024"/>
    <s v="profit"/>
  </r>
  <r>
    <s v="c8218af0-c27d-4581-b5c1-d7246f4e7b53"/>
    <d v="2023-02-02T00:00:00"/>
    <d v="2023-02-11T00:00:00"/>
    <x v="0"/>
    <x v="6"/>
    <s v="Q1"/>
    <n v="9"/>
    <x v="2"/>
    <x v="6"/>
    <x v="1"/>
    <x v="4"/>
    <s v="Pens turn"/>
    <x v="22"/>
    <n v="7"/>
    <n v="0.08"/>
    <n v="261.27999999999997"/>
    <n v="68.82000000000005"/>
    <s v="profit"/>
  </r>
  <r>
    <s v="d4e39de9-fe42-41ff-8f42-ae63c91a77f0"/>
    <d v="2024-02-14T00:00:00"/>
    <d v="2024-02-19T00:00:00"/>
    <x v="1"/>
    <x v="6"/>
    <s v="Q1"/>
    <n v="5"/>
    <x v="3"/>
    <x v="2"/>
    <x v="0"/>
    <x v="0"/>
    <s v="Tables resource"/>
    <x v="23"/>
    <n v="1"/>
    <n v="0.05"/>
    <n v="333.61"/>
    <n v="53.519999999999982"/>
    <s v="profit"/>
  </r>
  <r>
    <s v="2455f93f-91cc-47c5-9e55-1947a0897ee2"/>
    <d v="2024-10-13T00:00:00"/>
    <d v="2024-10-22T00:00:00"/>
    <x v="0"/>
    <x v="4"/>
    <s v="Q4"/>
    <n v="9"/>
    <x v="1"/>
    <x v="5"/>
    <x v="0"/>
    <x v="7"/>
    <s v="Chairs stop"/>
    <x v="24"/>
    <n v="6"/>
    <n v="0.11"/>
    <n v="191.2"/>
    <n v="35.200000000000017"/>
    <s v="profit"/>
  </r>
  <r>
    <s v="4bd55de2-d129-4629-9641-1519e71ab2af"/>
    <d v="2024-01-10T00:00:00"/>
    <d v="2024-01-15T00:00:00"/>
    <x v="0"/>
    <x v="0"/>
    <s v="Q1"/>
    <n v="5"/>
    <x v="0"/>
    <x v="1"/>
    <x v="2"/>
    <x v="2"/>
    <s v="Accessories yet"/>
    <x v="25"/>
    <n v="7"/>
    <n v="0.12"/>
    <n v="326.87"/>
    <n v="93.110000000000014"/>
    <s v="profit"/>
  </r>
  <r>
    <s v="64a4423b-824f-4d91-a754-f289e45d8935"/>
    <d v="2024-01-05T00:00:00"/>
    <d v="2024-01-14T00:00:00"/>
    <x v="0"/>
    <x v="0"/>
    <s v="Q1"/>
    <n v="9"/>
    <x v="1"/>
    <x v="7"/>
    <x v="2"/>
    <x v="2"/>
    <s v="Accessories understand"/>
    <x v="26"/>
    <n v="6"/>
    <n v="0.05"/>
    <n v="134.03"/>
    <n v="26.310000000000002"/>
    <s v="profit"/>
  </r>
  <r>
    <s v="09ad2bd9-6866-41c7-849a-8938530f74b8"/>
    <d v="2023-07-30T00:00:00"/>
    <d v="2023-08-03T00:00:00"/>
    <x v="0"/>
    <x v="2"/>
    <s v="Q3"/>
    <n v="4"/>
    <x v="2"/>
    <x v="4"/>
    <x v="1"/>
    <x v="1"/>
    <s v="Paper environment"/>
    <x v="27"/>
    <n v="4"/>
    <n v="0.17"/>
    <n v="425.62"/>
    <n v="122.36000000000001"/>
    <s v="profit"/>
  </r>
  <r>
    <s v="31a555c8-0d98-456b-ac41-2d9c5d96bfb7"/>
    <d v="2023-03-18T00:00:00"/>
    <d v="2023-03-25T00:00:00"/>
    <x v="1"/>
    <x v="10"/>
    <s v="Q2"/>
    <n v="7"/>
    <x v="1"/>
    <x v="6"/>
    <x v="1"/>
    <x v="1"/>
    <s v="Paper should"/>
    <x v="28"/>
    <n v="10"/>
    <n v="7.0000000000000007E-2"/>
    <n v="852.45"/>
    <n v="106.67999999999995"/>
    <s v="profit"/>
  </r>
  <r>
    <s v="0ee8e31f-69d5-44ab-833d-bc06227461c8"/>
    <d v="2024-01-19T00:00:00"/>
    <d v="2024-01-22T00:00:00"/>
    <x v="1"/>
    <x v="0"/>
    <s v="Q1"/>
    <n v="3"/>
    <x v="3"/>
    <x v="0"/>
    <x v="1"/>
    <x v="8"/>
    <s v="Binders but"/>
    <x v="29"/>
    <n v="10"/>
    <n v="0.1"/>
    <n v="95.06"/>
    <n v="33.430000000000007"/>
    <s v="profit"/>
  </r>
  <r>
    <s v="f4be3266-1662-44c4-9294-155ced2145cf"/>
    <d v="2023-06-16T00:00:00"/>
    <d v="2023-06-20T00:00:00"/>
    <x v="0"/>
    <x v="3"/>
    <s v="Q3"/>
    <n v="4"/>
    <x v="1"/>
    <x v="5"/>
    <x v="0"/>
    <x v="7"/>
    <s v="Chairs produce"/>
    <x v="30"/>
    <n v="10"/>
    <n v="0.26"/>
    <n v="4.09"/>
    <n v="56.64"/>
    <s v="profit"/>
  </r>
  <r>
    <s v="5a95385e-06ee-4f52-ae57-58d7b41b5abb"/>
    <d v="2023-11-02T00:00:00"/>
    <d v="2023-11-06T00:00:00"/>
    <x v="1"/>
    <x v="5"/>
    <s v="Q4"/>
    <n v="4"/>
    <x v="1"/>
    <x v="0"/>
    <x v="0"/>
    <x v="0"/>
    <s v="Tables save"/>
    <x v="31"/>
    <n v="10"/>
    <n v="0.26"/>
    <n v="432.05"/>
    <n v="167.50999999999993"/>
    <s v="profit"/>
  </r>
  <r>
    <s v="251dd947-9158-4741-aaee-4e47221b505a"/>
    <d v="2024-10-03T00:00:00"/>
    <d v="2024-10-10T00:00:00"/>
    <x v="1"/>
    <x v="4"/>
    <s v="Q4"/>
    <n v="7"/>
    <x v="3"/>
    <x v="4"/>
    <x v="1"/>
    <x v="8"/>
    <s v="Binders respond"/>
    <x v="32"/>
    <n v="1"/>
    <n v="0.4"/>
    <n v="206.38"/>
    <n v="165.34000000000003"/>
    <s v="profit"/>
  </r>
  <r>
    <s v="6fd4073e-9d05-43d3-9876-ad42ea244c90"/>
    <d v="2024-03-11T00:00:00"/>
    <d v="2024-03-12T00:00:00"/>
    <x v="0"/>
    <x v="10"/>
    <s v="Q2"/>
    <n v="1"/>
    <x v="2"/>
    <x v="3"/>
    <x v="1"/>
    <x v="8"/>
    <s v="Binders product"/>
    <x v="33"/>
    <n v="6"/>
    <n v="0.05"/>
    <n v="219.91"/>
    <n v="40.010000000000019"/>
    <s v="profit"/>
  </r>
  <r>
    <s v="b5d7f9fb-26ed-4cd9-a9b3-fc2e1cf2c9b8"/>
    <d v="2024-10-22T00:00:00"/>
    <d v="2024-10-30T00:00:00"/>
    <x v="0"/>
    <x v="4"/>
    <s v="Q4"/>
    <n v="8"/>
    <x v="2"/>
    <x v="6"/>
    <x v="1"/>
    <x v="4"/>
    <s v="Pens industry"/>
    <x v="34"/>
    <n v="7"/>
    <n v="0.33"/>
    <n v="145.91999999999999"/>
    <n v="104.74000000000001"/>
    <s v="profit"/>
  </r>
  <r>
    <s v="d6240275-158e-4255-8d98-886b22649d42"/>
    <d v="2024-02-02T00:00:00"/>
    <d v="2024-02-10T00:00:00"/>
    <x v="0"/>
    <x v="6"/>
    <s v="Q1"/>
    <n v="8"/>
    <x v="1"/>
    <x v="6"/>
    <x v="1"/>
    <x v="1"/>
    <s v="Paper tax"/>
    <x v="35"/>
    <n v="3"/>
    <n v="0.12"/>
    <n v="644.67999999999995"/>
    <n v="123.99000000000001"/>
    <s v="profit"/>
  </r>
  <r>
    <s v="82af0a7d-44a7-47bb-9501-436b7ad0c3cd"/>
    <d v="2023-10-31T00:00:00"/>
    <d v="2023-11-05T00:00:00"/>
    <x v="0"/>
    <x v="5"/>
    <s v="Q4"/>
    <n v="5"/>
    <x v="3"/>
    <x v="1"/>
    <x v="2"/>
    <x v="5"/>
    <s v="Phones figure"/>
    <x v="36"/>
    <n v="3"/>
    <n v="0.12"/>
    <n v="281.66000000000003"/>
    <n v="82.739999999999952"/>
    <s v="profit"/>
  </r>
  <r>
    <s v="d9390356-0e84-4f8f-bd1b-ff5cad5b3642"/>
    <d v="2024-01-24T00:00:00"/>
    <d v="2024-01-30T00:00:00"/>
    <x v="1"/>
    <x v="0"/>
    <s v="Q1"/>
    <n v="6"/>
    <x v="1"/>
    <x v="6"/>
    <x v="2"/>
    <x v="5"/>
    <s v="Phones despite"/>
    <x v="37"/>
    <n v="8"/>
    <n v="0.11"/>
    <n v="598"/>
    <n v="98.799999999999955"/>
    <s v="profit"/>
  </r>
  <r>
    <s v="06aba371-2a4f-4cb9-aa93-7f830b47eee4"/>
    <d v="2024-09-09T00:00:00"/>
    <d v="2024-09-16T00:00:00"/>
    <x v="0"/>
    <x v="11"/>
    <s v="Q4"/>
    <n v="7"/>
    <x v="2"/>
    <x v="3"/>
    <x v="1"/>
    <x v="8"/>
    <s v="Binders since"/>
    <x v="38"/>
    <n v="7"/>
    <n v="0.13"/>
    <n v="95.84"/>
    <n v="50.77000000000001"/>
    <s v="profit"/>
  </r>
  <r>
    <s v="09754919-77dc-4df0-bccd-038b3646d079"/>
    <d v="2024-12-02T00:00:00"/>
    <d v="2024-12-07T00:00:00"/>
    <x v="0"/>
    <x v="9"/>
    <s v="Q4"/>
    <n v="5"/>
    <x v="2"/>
    <x v="3"/>
    <x v="1"/>
    <x v="4"/>
    <s v="Pens trade"/>
    <x v="39"/>
    <n v="3"/>
    <n v="0.15"/>
    <n v="295.47000000000003"/>
    <n v="100.90999999999997"/>
    <s v="profit"/>
  </r>
  <r>
    <s v="e3a3dcc7-e1cb-4037-a195-1b37fe25b811"/>
    <d v="2023-08-08T00:00:00"/>
    <d v="2023-08-14T00:00:00"/>
    <x v="0"/>
    <x v="2"/>
    <s v="Q3"/>
    <n v="6"/>
    <x v="2"/>
    <x v="4"/>
    <x v="0"/>
    <x v="3"/>
    <s v="Bookcases read"/>
    <x v="40"/>
    <n v="3"/>
    <n v="0.16"/>
    <n v="187.19"/>
    <n v="89.470000000000027"/>
    <s v="profit"/>
  </r>
  <r>
    <s v="78a0c417-1cd9-4434-8bdd-032224218bd2"/>
    <d v="2024-02-16T00:00:00"/>
    <d v="2024-02-23T00:00:00"/>
    <x v="1"/>
    <x v="6"/>
    <s v="Q1"/>
    <n v="7"/>
    <x v="3"/>
    <x v="4"/>
    <x v="2"/>
    <x v="2"/>
    <s v="Accessories about"/>
    <x v="41"/>
    <n v="1"/>
    <n v="0.25"/>
    <n v="280.36"/>
    <n v="153.76"/>
    <s v="profit"/>
  </r>
  <r>
    <s v="d69df0f7-e9ac-4fae-85f4-c1d50abe81b7"/>
    <d v="2024-01-22T00:00:00"/>
    <d v="2024-01-31T00:00:00"/>
    <x v="0"/>
    <x v="0"/>
    <s v="Q1"/>
    <n v="9"/>
    <x v="3"/>
    <x v="1"/>
    <x v="1"/>
    <x v="4"/>
    <s v="Pens in"/>
    <x v="42"/>
    <n v="10"/>
    <n v="0.33"/>
    <n v="188.23"/>
    <n v="121.29999999999998"/>
    <s v="profit"/>
  </r>
  <r>
    <s v="34bb452b-74e2-4fe7-98a1-e6d2061815b5"/>
    <d v="2023-09-17T00:00:00"/>
    <d v="2023-09-26T00:00:00"/>
    <x v="0"/>
    <x v="11"/>
    <s v="Q4"/>
    <n v="9"/>
    <x v="1"/>
    <x v="1"/>
    <x v="1"/>
    <x v="4"/>
    <s v="Pens song"/>
    <x v="43"/>
    <n v="3"/>
    <n v="0.27"/>
    <n v="146.44999999999999"/>
    <n v="94.06"/>
    <s v="profit"/>
  </r>
  <r>
    <s v="42e9ea49-c396-4998-8674-1e028f444f63"/>
    <d v="2023-05-14T00:00:00"/>
    <d v="2023-05-19T00:00:00"/>
    <x v="1"/>
    <x v="8"/>
    <s v="Q2"/>
    <n v="5"/>
    <x v="3"/>
    <x v="5"/>
    <x v="1"/>
    <x v="1"/>
    <s v="Paper significant"/>
    <x v="44"/>
    <n v="1"/>
    <n v="0.49"/>
    <n v="331.03"/>
    <n v="405.76"/>
    <s v="profit"/>
  </r>
  <r>
    <s v="af81b9a4-1d1b-4dea-b0e6-4661d43826ae"/>
    <d v="2023-04-08T00:00:00"/>
    <d v="2023-04-11T00:00:00"/>
    <x v="1"/>
    <x v="1"/>
    <s v="Q2"/>
    <n v="3"/>
    <x v="3"/>
    <x v="7"/>
    <x v="1"/>
    <x v="8"/>
    <s v="Binders people"/>
    <x v="45"/>
    <n v="1"/>
    <n v="0.25"/>
    <n v="24.5"/>
    <n v="64.290000000000006"/>
    <s v="profit"/>
  </r>
  <r>
    <s v="539db767-fc0b-41ad-9a10-66c4edc43205"/>
    <d v="2023-12-03T00:00:00"/>
    <d v="2023-12-09T00:00:00"/>
    <x v="1"/>
    <x v="9"/>
    <s v="Q4"/>
    <n v="6"/>
    <x v="0"/>
    <x v="2"/>
    <x v="1"/>
    <x v="4"/>
    <s v="Pens strong"/>
    <x v="46"/>
    <n v="8"/>
    <n v="0.16"/>
    <n v="99.2"/>
    <n v="61.63000000000001"/>
    <s v="profit"/>
  </r>
  <r>
    <s v="fc3d0235-5dc5-4983-abb0-b357cbee16b5"/>
    <d v="2023-09-02T00:00:00"/>
    <d v="2023-09-05T00:00:00"/>
    <x v="1"/>
    <x v="11"/>
    <s v="Q4"/>
    <n v="3"/>
    <x v="0"/>
    <x v="4"/>
    <x v="2"/>
    <x v="6"/>
    <s v="Laptops Congress"/>
    <x v="47"/>
    <n v="3"/>
    <n v="0.34"/>
    <n v="565.16999999999996"/>
    <n v="316.45000000000005"/>
    <s v="profit"/>
  </r>
  <r>
    <s v="95dc19af-9c11-41dd-8dc8-4a04d9fb44d1"/>
    <d v="2023-07-01T00:00:00"/>
    <d v="2023-07-08T00:00:00"/>
    <x v="1"/>
    <x v="7"/>
    <s v="Q3"/>
    <n v="7"/>
    <x v="1"/>
    <x v="2"/>
    <x v="1"/>
    <x v="4"/>
    <s v="Pens many"/>
    <x v="48"/>
    <n v="9"/>
    <n v="0.28999999999999998"/>
    <n v="480.78"/>
    <n v="218.94000000000005"/>
    <s v="profit"/>
  </r>
  <r>
    <s v="d114bd67-b6a2-44a0-85bd-c290d87d9264"/>
    <d v="2023-12-18T00:00:00"/>
    <d v="2023-12-24T00:00:00"/>
    <x v="1"/>
    <x v="9"/>
    <s v="Q4"/>
    <n v="6"/>
    <x v="1"/>
    <x v="4"/>
    <x v="1"/>
    <x v="1"/>
    <s v="Paper affect"/>
    <x v="49"/>
    <n v="10"/>
    <n v="0.47"/>
    <n v="288.98"/>
    <n v="330.52"/>
    <s v="profit"/>
  </r>
  <r>
    <s v="a524c772-249c-46a7-bf4c-e989b2e3c114"/>
    <d v="2024-07-19T00:00:00"/>
    <d v="2024-07-24T00:00:00"/>
    <x v="1"/>
    <x v="7"/>
    <s v="Q3"/>
    <n v="5"/>
    <x v="1"/>
    <x v="5"/>
    <x v="1"/>
    <x v="4"/>
    <s v="Pens four"/>
    <x v="50"/>
    <n v="6"/>
    <n v="0.5"/>
    <n v="264.63"/>
    <n v="315.96000000000004"/>
    <s v="profit"/>
  </r>
  <r>
    <s v="2d07b9bd-7466-4c3b-b2df-a37ca0282846"/>
    <d v="2023-01-25T00:00:00"/>
    <d v="2023-02-02T00:00:00"/>
    <x v="0"/>
    <x v="6"/>
    <s v="Q1"/>
    <n v="8"/>
    <x v="0"/>
    <x v="3"/>
    <x v="1"/>
    <x v="4"/>
    <s v="Pens girl"/>
    <x v="51"/>
    <n v="8"/>
    <n v="0.1"/>
    <n v="309.49"/>
    <n v="61.509999999999991"/>
    <s v="profit"/>
  </r>
  <r>
    <s v="019057e7-6a55-4f0d-b34f-bfc367480748"/>
    <d v="2023-01-25T00:00:00"/>
    <d v="2023-01-28T00:00:00"/>
    <x v="1"/>
    <x v="0"/>
    <s v="Q1"/>
    <n v="3"/>
    <x v="0"/>
    <x v="6"/>
    <x v="0"/>
    <x v="0"/>
    <s v="Tables society"/>
    <x v="52"/>
    <n v="6"/>
    <n v="0.01"/>
    <n v="541.71"/>
    <n v="21.579999999999927"/>
    <s v="profit"/>
  </r>
  <r>
    <s v="beedbf7d-c787-4f29-981e-fa1ca89940b3"/>
    <d v="2024-11-13T00:00:00"/>
    <d v="2024-11-19T00:00:00"/>
    <x v="1"/>
    <x v="5"/>
    <s v="Q4"/>
    <n v="6"/>
    <x v="2"/>
    <x v="1"/>
    <x v="2"/>
    <x v="5"/>
    <s v="Phones leg"/>
    <x v="53"/>
    <n v="10"/>
    <n v="0.32"/>
    <n v="138.01"/>
    <n v="124.31"/>
    <s v="profit"/>
  </r>
  <r>
    <s v="12f7acf0-4548-4d7c-baf0-d42cb0c30116"/>
    <d v="2023-12-27T00:00:00"/>
    <d v="2024-01-04T00:00:00"/>
    <x v="0"/>
    <x v="0"/>
    <s v="Q1"/>
    <n v="8"/>
    <x v="1"/>
    <x v="4"/>
    <x v="2"/>
    <x v="5"/>
    <s v="Phones first"/>
    <x v="54"/>
    <n v="8"/>
    <n v="0.19"/>
    <n v="651.48"/>
    <n v="189.91999999999996"/>
    <s v="profit"/>
  </r>
  <r>
    <s v="fc0314d6-3ec0-42b5-bf77-24c1f7e82112"/>
    <d v="2023-11-15T00:00:00"/>
    <d v="2023-11-21T00:00:00"/>
    <x v="1"/>
    <x v="5"/>
    <s v="Q4"/>
    <n v="6"/>
    <x v="3"/>
    <x v="0"/>
    <x v="2"/>
    <x v="6"/>
    <s v="Laptops many"/>
    <x v="55"/>
    <n v="5"/>
    <n v="0.37"/>
    <n v="359.69"/>
    <n v="283.53000000000003"/>
    <s v="profit"/>
  </r>
  <r>
    <s v="bcf08845-e2f5-4932-97e7-bd808717653a"/>
    <d v="2024-08-04T00:00:00"/>
    <d v="2024-08-05T00:00:00"/>
    <x v="1"/>
    <x v="2"/>
    <s v="Q3"/>
    <n v="1"/>
    <x v="1"/>
    <x v="4"/>
    <x v="0"/>
    <x v="3"/>
    <s v="Bookcases become"/>
    <x v="56"/>
    <n v="5"/>
    <n v="0.26"/>
    <n v="658.21"/>
    <n v="286.87"/>
    <s v="profit"/>
  </r>
  <r>
    <s v="0ec7aeed-cc20-4091-ad03-63573e3c5f08"/>
    <d v="2024-11-09T00:00:00"/>
    <d v="2024-11-17T00:00:00"/>
    <x v="0"/>
    <x v="5"/>
    <s v="Q4"/>
    <n v="8"/>
    <x v="3"/>
    <x v="5"/>
    <x v="0"/>
    <x v="0"/>
    <s v="Tables amount"/>
    <x v="57"/>
    <n v="2"/>
    <n v="0.46"/>
    <n v="176.14"/>
    <n v="190.17000000000002"/>
    <s v="profit"/>
  </r>
  <r>
    <s v="1919414f-66da-4062-9b55-d7958ed8ba47"/>
    <d v="2024-03-23T00:00:00"/>
    <d v="2024-03-27T00:00:00"/>
    <x v="0"/>
    <x v="10"/>
    <s v="Q2"/>
    <n v="4"/>
    <x v="3"/>
    <x v="4"/>
    <x v="2"/>
    <x v="2"/>
    <s v="Accessories approach"/>
    <x v="58"/>
    <n v="6"/>
    <n v="0.4"/>
    <n v="173.31"/>
    <n v="154.51999999999998"/>
    <s v="profit"/>
  </r>
  <r>
    <s v="ef8106db-5ac7-45a3-a7da-b0506f38c2b3"/>
    <m/>
    <d v="2023-03-24T00:00:00"/>
    <x v="0"/>
    <x v="10"/>
    <s v="Q2"/>
    <n v="45009"/>
    <x v="4"/>
    <x v="6"/>
    <x v="1"/>
    <x v="8"/>
    <s v="Binders should"/>
    <x v="59"/>
    <n v="4"/>
    <n v="0.1"/>
    <n v="512.84"/>
    <e v="#VALUE!"/>
    <s v="profit"/>
  </r>
  <r>
    <s v="c9dc06a7-0763-4694-b327-8faa84a4c91b"/>
    <d v="2023-08-31T00:00:00"/>
    <d v="2023-09-01T00:00:00"/>
    <x v="2"/>
    <x v="11"/>
    <s v="Q4"/>
    <n v="1"/>
    <x v="1"/>
    <x v="0"/>
    <x v="2"/>
    <x v="5"/>
    <s v="Phones point"/>
    <x v="60"/>
    <n v="5"/>
    <n v="0.28999999999999998"/>
    <n v="517.86"/>
    <n v="273.19999999999993"/>
    <s v="profit"/>
  </r>
  <r>
    <s v="b6fa8300-6e11-43bd-b871-58fef8c4554d"/>
    <d v="2023-06-08T00:00:00"/>
    <d v="2023-06-11T00:00:00"/>
    <x v="1"/>
    <x v="3"/>
    <s v="Q3"/>
    <n v="3"/>
    <x v="2"/>
    <x v="5"/>
    <x v="0"/>
    <x v="7"/>
    <s v="Chairs form"/>
    <x v="61"/>
    <n v="4"/>
    <n v="0.36"/>
    <n v="420.7"/>
    <n v="285.97999999999996"/>
    <s v="profit"/>
  </r>
  <r>
    <s v="0ee872b9-28a7-43ff-b4ee-4d8ac7ee75cd"/>
    <d v="2023-09-29T00:00:00"/>
    <d v="2023-10-04T00:00:00"/>
    <x v="1"/>
    <x v="4"/>
    <s v="Q4"/>
    <n v="5"/>
    <x v="2"/>
    <x v="4"/>
    <x v="0"/>
    <x v="7"/>
    <s v="Chairs economic"/>
    <x v="62"/>
    <n v="10"/>
    <n v="0.28000000000000003"/>
    <n v="82.08"/>
    <n v="84.2"/>
    <s v="profit"/>
  </r>
  <r>
    <s v="93cf479b-2804-4fd5-9ff3-e6d377cf9d0f"/>
    <d v="2024-11-22T00:00:00"/>
    <d v="2024-11-29T00:00:00"/>
    <x v="1"/>
    <x v="5"/>
    <s v="Q4"/>
    <n v="7"/>
    <x v="1"/>
    <x v="7"/>
    <x v="1"/>
    <x v="4"/>
    <s v="Pens great"/>
    <x v="63"/>
    <n v="6"/>
    <n v="0.36"/>
    <n v="147.66"/>
    <n v="103.39000000000001"/>
    <s v="profit"/>
  </r>
  <r>
    <s v="5115ed79-1d54-465b-a331-64c239be6bd5"/>
    <d v="2023-01-12T00:00:00"/>
    <d v="2023-01-19T00:00:00"/>
    <x v="0"/>
    <x v="0"/>
    <s v="Q1"/>
    <n v="7"/>
    <x v="2"/>
    <x v="0"/>
    <x v="0"/>
    <x v="3"/>
    <s v="Bookcases soldier"/>
    <x v="64"/>
    <n v="10"/>
    <n v="0.42"/>
    <n v="-22.32"/>
    <n v="60.88"/>
    <s v="loss"/>
  </r>
  <r>
    <s v="e637aed0-3c88-40c0-8bb9-6bb38c53fea9"/>
    <d v="2023-07-25T00:00:00"/>
    <d v="2023-08-02T00:00:00"/>
    <x v="1"/>
    <x v="2"/>
    <s v="Q3"/>
    <n v="8"/>
    <x v="3"/>
    <x v="7"/>
    <x v="2"/>
    <x v="5"/>
    <s v="Phones call"/>
    <x v="65"/>
    <n v="8"/>
    <n v="0.17"/>
    <n v="309.70999999999998"/>
    <n v="84.300000000000011"/>
    <s v="profit"/>
  </r>
  <r>
    <s v="98341316-2579-4c6a-9838-31616eac2181"/>
    <d v="2024-11-04T00:00:00"/>
    <d v="2024-11-07T00:00:00"/>
    <x v="1"/>
    <x v="5"/>
    <s v="Q4"/>
    <n v="3"/>
    <x v="2"/>
    <x v="2"/>
    <x v="1"/>
    <x v="8"/>
    <s v="Binders significant"/>
    <x v="66"/>
    <n v="8"/>
    <n v="0.21"/>
    <n v="426.74"/>
    <n v="-376.74"/>
    <s v="profit"/>
  </r>
  <r>
    <s v="43319d2e-166f-4911-a150-49b1345c1cd4"/>
    <d v="2023-01-21T00:00:00"/>
    <d v="2023-01-27T00:00:00"/>
    <x v="0"/>
    <x v="0"/>
    <s v="Q1"/>
    <n v="6"/>
    <x v="0"/>
    <x v="2"/>
    <x v="1"/>
    <x v="4"/>
    <s v="Pens thousand"/>
    <x v="67"/>
    <n v="2"/>
    <n v="0.09"/>
    <n v="215.45"/>
    <n v="58.970000000000027"/>
    <s v="profit"/>
  </r>
  <r>
    <s v="f645fcc2-d1bd-4cab-860b-d29478610c8f"/>
    <d v="2024-04-04T00:00:00"/>
    <d v="2024-04-05T00:00:00"/>
    <x v="1"/>
    <x v="1"/>
    <s v="Q2"/>
    <n v="1"/>
    <x v="1"/>
    <x v="0"/>
    <x v="2"/>
    <x v="2"/>
    <s v="Accessories series"/>
    <x v="68"/>
    <n v="9"/>
    <n v="0.36"/>
    <n v="356.84"/>
    <n v="227.13000000000005"/>
    <s v="profit"/>
  </r>
  <r>
    <s v="db370ca6-8346-490f-b112-5f8a3dfe62af"/>
    <d v="2024-02-19T00:00:00"/>
    <d v="2024-02-23T00:00:00"/>
    <x v="0"/>
    <x v="6"/>
    <s v="Q1"/>
    <n v="4"/>
    <x v="0"/>
    <x v="3"/>
    <x v="0"/>
    <x v="0"/>
    <s v="Tables interview"/>
    <x v="69"/>
    <n v="10"/>
    <n v="0.41"/>
    <n v="220.9"/>
    <n v="181.54"/>
    <s v="profit"/>
  </r>
  <r>
    <s v="e9332977-a82e-4003-b531-fde2cc08b694"/>
    <d v="2023-01-03T00:00:00"/>
    <d v="2023-01-04T00:00:00"/>
    <x v="0"/>
    <x v="0"/>
    <s v="Q1"/>
    <n v="1"/>
    <x v="3"/>
    <x v="0"/>
    <x v="2"/>
    <x v="5"/>
    <s v="Phones life"/>
    <x v="70"/>
    <n v="8"/>
    <n v="0.25"/>
    <n v="-7.65"/>
    <n v="43.839999999999996"/>
    <s v="loss"/>
  </r>
  <r>
    <s v="46f37037-cab4-4575-b3d5-29a4824c5040"/>
    <d v="2024-03-27T00:00:00"/>
    <d v="2024-04-02T00:00:00"/>
    <x v="1"/>
    <x v="1"/>
    <s v="Q2"/>
    <n v="6"/>
    <x v="3"/>
    <x v="1"/>
    <x v="0"/>
    <x v="3"/>
    <s v="Bookcases hold"/>
    <x v="71"/>
    <n v="6"/>
    <n v="0.12"/>
    <n v="753.35"/>
    <n v="159.19999999999993"/>
    <s v="profit"/>
  </r>
  <r>
    <s v="53acbfe3-8183-46b2-9c0a-fa75cbfa550c"/>
    <d v="2023-11-25T00:00:00"/>
    <d v="2023-12-02T00:00:00"/>
    <x v="0"/>
    <x v="9"/>
    <s v="Q4"/>
    <n v="7"/>
    <x v="0"/>
    <x v="1"/>
    <x v="0"/>
    <x v="0"/>
    <s v="Tables reduce"/>
    <x v="72"/>
    <n v="5"/>
    <n v="0.01"/>
    <n v="401.06"/>
    <n v="53.740000000000009"/>
    <s v="profit"/>
  </r>
  <r>
    <s v="ac08a905-668d-4c7a-93df-38b5bc3da9ab"/>
    <d v="2023-06-23T00:00:00"/>
    <d v="2023-06-25T00:00:00"/>
    <x v="1"/>
    <x v="3"/>
    <s v="Q3"/>
    <n v="2"/>
    <x v="2"/>
    <x v="6"/>
    <x v="0"/>
    <x v="3"/>
    <s v="Bookcases from"/>
    <x v="73"/>
    <n v="3"/>
    <n v="0.26"/>
    <n v="692.31"/>
    <n v="284.28000000000009"/>
    <s v="profit"/>
  </r>
  <r>
    <s v="51e232e8-a74b-4470-9635-d8cfdad37084"/>
    <d v="2024-01-26T00:00:00"/>
    <d v="2024-02-03T00:00:00"/>
    <x v="1"/>
    <x v="6"/>
    <s v="Q1"/>
    <n v="8"/>
    <x v="1"/>
    <x v="4"/>
    <x v="2"/>
    <x v="5"/>
    <s v="Phones step"/>
    <x v="74"/>
    <n v="5"/>
    <n v="0.14000000000000001"/>
    <n v="730.16"/>
    <n v="154.70000000000005"/>
    <s v="profit"/>
  </r>
  <r>
    <s v="b7e28c64-f798-4a3a-a2cf-50e4621b5475"/>
    <d v="2023-05-17T00:00:00"/>
    <d v="2023-05-23T00:00:00"/>
    <x v="0"/>
    <x v="8"/>
    <s v="Q2"/>
    <n v="6"/>
    <x v="3"/>
    <x v="1"/>
    <x v="0"/>
    <x v="0"/>
    <s v="Tables day"/>
    <x v="75"/>
    <n v="8"/>
    <n v="0.11"/>
    <n v="110.82"/>
    <n v="65.510000000000019"/>
    <s v="profit"/>
  </r>
  <r>
    <s v="5e45f382-efa6-4e9c-85f9-7d856545205a"/>
    <m/>
    <d v="2023-12-12T00:00:00"/>
    <x v="1"/>
    <x v="9"/>
    <s v="Q4"/>
    <n v="45272"/>
    <x v="4"/>
    <x v="4"/>
    <x v="2"/>
    <x v="2"/>
    <s v="Accessories pull"/>
    <x v="59"/>
    <n v="6"/>
    <n v="0.27"/>
    <n v="489.32"/>
    <e v="#VALUE!"/>
    <s v="profit"/>
  </r>
  <r>
    <s v="5be931f7-e93c-437c-8baa-c6a3c7d73eb5"/>
    <d v="2024-01-23T00:00:00"/>
    <d v="2024-01-29T00:00:00"/>
    <x v="2"/>
    <x v="0"/>
    <s v="Q1"/>
    <n v="6"/>
    <x v="1"/>
    <x v="4"/>
    <x v="0"/>
    <x v="0"/>
    <s v="Tables woman"/>
    <x v="76"/>
    <n v="6"/>
    <n v="0.08"/>
    <n v="673.1"/>
    <n v="109.70999999999992"/>
    <s v="profit"/>
  </r>
  <r>
    <s v="a42ce613-a663-49c9-b453-1d337c7329ca"/>
    <d v="2023-02-27T00:00:00"/>
    <d v="2023-03-06T00:00:00"/>
    <x v="0"/>
    <x v="10"/>
    <s v="Q2"/>
    <n v="7"/>
    <x v="3"/>
    <x v="4"/>
    <x v="1"/>
    <x v="4"/>
    <s v="Pens son"/>
    <x v="77"/>
    <n v="3"/>
    <n v="0.34"/>
    <n v="424.5"/>
    <n v="275.88"/>
    <s v="profit"/>
  </r>
  <r>
    <s v="b7ff190b-1839-433f-af20-e1c992d5f3d7"/>
    <d v="2024-04-03T00:00:00"/>
    <d v="2024-04-03T00:00:00"/>
    <x v="1"/>
    <x v="1"/>
    <s v="Q2"/>
    <n v="0"/>
    <x v="3"/>
    <x v="2"/>
    <x v="1"/>
    <x v="8"/>
    <s v="Binders girl"/>
    <x v="78"/>
    <n v="8"/>
    <n v="0.16"/>
    <n v="504.7"/>
    <n v="120.30000000000001"/>
    <s v="profit"/>
  </r>
  <r>
    <s v="fc8628a3-aebc-4f29-92b3-8d0eb403dc3f"/>
    <d v="2024-04-18T00:00:00"/>
    <d v="2024-04-19T00:00:00"/>
    <x v="0"/>
    <x v="1"/>
    <s v="Q2"/>
    <n v="1"/>
    <x v="1"/>
    <x v="4"/>
    <x v="2"/>
    <x v="5"/>
    <s v="Phones her"/>
    <x v="79"/>
    <n v="6"/>
    <n v="0.18"/>
    <n v="124.76"/>
    <n v="61.659999999999982"/>
    <s v="profit"/>
  </r>
  <r>
    <s v="471d681b-c253-43b0-9993-d9cd4fb113b4"/>
    <d v="2024-11-06T00:00:00"/>
    <d v="2024-11-14T00:00:00"/>
    <x v="0"/>
    <x v="5"/>
    <s v="Q4"/>
    <n v="8"/>
    <x v="2"/>
    <x v="1"/>
    <x v="0"/>
    <x v="0"/>
    <s v="Tables his"/>
    <x v="80"/>
    <n v="7"/>
    <n v="0.12"/>
    <n v="358.68"/>
    <n v="92.800000000000011"/>
    <s v="profit"/>
  </r>
  <r>
    <s v="09d36b77-1fcf-48e9-a5b1-4e05fc8686e0"/>
    <d v="2024-04-07T00:00:00"/>
    <d v="2024-04-12T00:00:00"/>
    <x v="0"/>
    <x v="1"/>
    <s v="Q2"/>
    <n v="5"/>
    <x v="3"/>
    <x v="5"/>
    <x v="2"/>
    <x v="6"/>
    <s v="Laptops say"/>
    <x v="81"/>
    <n v="5"/>
    <n v="0.28999999999999998"/>
    <n v="549.29999999999995"/>
    <n v="261"/>
    <s v="profit"/>
  </r>
  <r>
    <s v="1093b3cd-c296-41b4-991d-ddcab3c8279b"/>
    <d v="2023-11-13T00:00:00"/>
    <d v="2023-11-15T00:00:00"/>
    <x v="0"/>
    <x v="5"/>
    <s v="Q4"/>
    <n v="2"/>
    <x v="3"/>
    <x v="1"/>
    <x v="2"/>
    <x v="6"/>
    <s v="Laptops statement"/>
    <x v="82"/>
    <n v="2"/>
    <n v="0.35"/>
    <n v="505.97"/>
    <n v="326.08999999999992"/>
    <s v="profit"/>
  </r>
  <r>
    <s v="23751c1c-1036-474f-8432-73c0257bc2da"/>
    <d v="2024-05-15T00:00:00"/>
    <d v="2024-05-24T00:00:00"/>
    <x v="1"/>
    <x v="8"/>
    <s v="Q2"/>
    <n v="9"/>
    <x v="1"/>
    <x v="3"/>
    <x v="0"/>
    <x v="7"/>
    <s v="Chairs second"/>
    <x v="83"/>
    <n v="8"/>
    <n v="0.37"/>
    <n v="262.94"/>
    <n v="200.25"/>
    <s v="profit"/>
  </r>
  <r>
    <s v="78bd9016-521a-4bed-9147-eefa62751d5e"/>
    <d v="2024-01-04T00:00:00"/>
    <d v="2024-01-06T00:00:00"/>
    <x v="0"/>
    <x v="0"/>
    <s v="Q1"/>
    <n v="2"/>
    <x v="2"/>
    <x v="6"/>
    <x v="0"/>
    <x v="7"/>
    <s v="Chairs and"/>
    <x v="84"/>
    <n v="10"/>
    <n v="0.31"/>
    <n v="585.6"/>
    <n v="297.27"/>
    <s v="profit"/>
  </r>
  <r>
    <s v="c5f77c59-ddd7-4e04-b80e-a0047e1c160f"/>
    <d v="2023-03-23T00:00:00"/>
    <d v="2023-03-30T00:00:00"/>
    <x v="0"/>
    <x v="10"/>
    <s v="Q2"/>
    <n v="7"/>
    <x v="0"/>
    <x v="3"/>
    <x v="0"/>
    <x v="0"/>
    <s v="Tables prove"/>
    <x v="85"/>
    <n v="10"/>
    <n v="0.2"/>
    <n v="492.81"/>
    <n v="142.63000000000005"/>
    <s v="profit"/>
  </r>
  <r>
    <s v="300d6df0-3c5b-48a9-8937-e1412f04ebf1"/>
    <d v="2024-11-16T00:00:00"/>
    <d v="2024-11-19T00:00:00"/>
    <x v="1"/>
    <x v="5"/>
    <s v="Q4"/>
    <n v="3"/>
    <x v="2"/>
    <x v="7"/>
    <x v="0"/>
    <x v="0"/>
    <s v="Tables hard"/>
    <x v="86"/>
    <n v="7"/>
    <n v="0.21"/>
    <n v="402.21"/>
    <n v="150.87000000000006"/>
    <s v="profit"/>
  </r>
  <r>
    <s v="1482c0d4-be70-40a6-94b8-4e9bf0ab5a0e"/>
    <d v="2023-10-18T00:00:00"/>
    <d v="2023-10-25T00:00:00"/>
    <x v="0"/>
    <x v="4"/>
    <s v="Q4"/>
    <n v="7"/>
    <x v="2"/>
    <x v="4"/>
    <x v="1"/>
    <x v="1"/>
    <s v="Paper shake"/>
    <x v="87"/>
    <n v="8"/>
    <n v="0.2"/>
    <n v="629.21"/>
    <n v="203.57999999999993"/>
    <s v="profit"/>
  </r>
  <r>
    <s v="ca2a79c7-f860-4664-b861-03ad51a04a52"/>
    <d v="2023-12-28T00:00:00"/>
    <d v="2024-01-03T00:00:00"/>
    <x v="1"/>
    <x v="0"/>
    <s v="Q1"/>
    <n v="6"/>
    <x v="0"/>
    <x v="4"/>
    <x v="2"/>
    <x v="2"/>
    <s v="Accessories social"/>
    <x v="88"/>
    <n v="4"/>
    <n v="0.48"/>
    <n v="333.13"/>
    <n v="337.78"/>
    <s v="profit"/>
  </r>
  <r>
    <s v="4a30fea9-2e12-4965-b0a4-943026611c24"/>
    <d v="2023-04-16T00:00:00"/>
    <d v="2023-04-16T00:00:00"/>
    <x v="1"/>
    <x v="1"/>
    <s v="Q2"/>
    <n v="0"/>
    <x v="1"/>
    <x v="7"/>
    <x v="1"/>
    <x v="8"/>
    <s v="Binders respond"/>
    <x v="89"/>
    <n v="1"/>
    <n v="0.12"/>
    <n v="196.4"/>
    <n v="61.27000000000001"/>
    <s v="profit"/>
  </r>
  <r>
    <s v="a789b3c9-fd1d-4507-8487-4ef1177a9660"/>
    <d v="2024-11-11T00:00:00"/>
    <d v="2024-11-18T00:00:00"/>
    <x v="1"/>
    <x v="5"/>
    <s v="Q4"/>
    <n v="7"/>
    <x v="0"/>
    <x v="3"/>
    <x v="2"/>
    <x v="2"/>
    <s v="Accessories require"/>
    <x v="90"/>
    <n v="8"/>
    <n v="0.31"/>
    <n v="323.92"/>
    <n v="183.90999999999997"/>
    <s v="profit"/>
  </r>
  <r>
    <s v="2932052c-e285-42f6-b0ab-d7fcedbd984c"/>
    <d v="2023-11-07T00:00:00"/>
    <d v="2023-11-16T00:00:00"/>
    <x v="0"/>
    <x v="5"/>
    <s v="Q4"/>
    <n v="9"/>
    <x v="3"/>
    <x v="1"/>
    <x v="0"/>
    <x v="7"/>
    <s v="Chairs management"/>
    <x v="91"/>
    <n v="2"/>
    <n v="0.48"/>
    <n v="62.81"/>
    <n v="79.349999999999994"/>
    <s v="profit"/>
  </r>
  <r>
    <s v="7dfe613d-88ca-4c47-8393-63728d549aa9"/>
    <d v="2023-07-11T00:00:00"/>
    <d v="2023-07-12T00:00:00"/>
    <x v="1"/>
    <x v="7"/>
    <s v="Q3"/>
    <n v="1"/>
    <x v="1"/>
    <x v="4"/>
    <x v="0"/>
    <x v="3"/>
    <s v="Bookcases success"/>
    <x v="92"/>
    <n v="4"/>
    <n v="0.12"/>
    <n v="470.36"/>
    <n v="9528.64"/>
    <s v="profit"/>
  </r>
  <r>
    <s v="fd077da0-b79d-450f-9457-ac0050180104"/>
    <d v="2023-05-06T00:00:00"/>
    <d v="2023-05-12T00:00:00"/>
    <x v="1"/>
    <x v="8"/>
    <s v="Q2"/>
    <n v="6"/>
    <x v="2"/>
    <x v="2"/>
    <x v="1"/>
    <x v="1"/>
    <s v="Paper other"/>
    <x v="93"/>
    <n v="8"/>
    <n v="0.15"/>
    <n v="183"/>
    <n v="55.610000000000014"/>
    <s v="profit"/>
  </r>
  <r>
    <s v="5862abd6-0f5f-4c97-8863-e4a9cfde1c3c"/>
    <d v="2023-10-13T00:00:00"/>
    <d v="2023-10-13T00:00:00"/>
    <x v="1"/>
    <x v="4"/>
    <s v="Q4"/>
    <n v="0"/>
    <x v="3"/>
    <x v="1"/>
    <x v="0"/>
    <x v="3"/>
    <s v="Bookcases church"/>
    <x v="94"/>
    <n v="3"/>
    <n v="0.38"/>
    <n v="266.14999999999998"/>
    <n v="224.69"/>
    <s v="profit"/>
  </r>
  <r>
    <s v="a3cd3e2e-9708-4048-942a-0b2344c8eb6a"/>
    <m/>
    <d v="2023-05-26T00:00:00"/>
    <x v="1"/>
    <x v="8"/>
    <s v="Q2"/>
    <n v="45072"/>
    <x v="4"/>
    <x v="1"/>
    <x v="0"/>
    <x v="3"/>
    <s v="Bookcases newspaper"/>
    <x v="59"/>
    <n v="4"/>
    <n v="7.0000000000000007E-2"/>
    <n v="435.88"/>
    <e v="#VALUE!"/>
    <s v="profit"/>
  </r>
  <r>
    <s v="027a6d4e-72df-4074-9893-9058708d2460"/>
    <d v="2022-12-06T00:00:00"/>
    <d v="2022-12-15T00:00:00"/>
    <x v="2"/>
    <x v="9"/>
    <s v="Q4"/>
    <n v="9"/>
    <x v="1"/>
    <x v="5"/>
    <x v="1"/>
    <x v="8"/>
    <s v="Binders realize"/>
    <x v="95"/>
    <n v="9"/>
    <n v="0.14000000000000001"/>
    <n v="448.11"/>
    <n v="92.529999999999973"/>
    <s v="profit"/>
  </r>
  <r>
    <s v="b956bfde-f9a8-432e-9691-eeda18229728"/>
    <d v="2023-09-20T00:00:00"/>
    <d v="2023-09-22T00:00:00"/>
    <x v="3"/>
    <x v="11"/>
    <s v="Q4"/>
    <n v="2"/>
    <x v="0"/>
    <x v="7"/>
    <x v="2"/>
    <x v="2"/>
    <s v="Accessories value"/>
    <x v="96"/>
    <n v="4"/>
    <n v="0.4"/>
    <n v="497.14"/>
    <n v="354.44000000000005"/>
    <s v="profit"/>
  </r>
  <r>
    <s v="90bb2a1e-450f-4857-be20-550107c814c3"/>
    <d v="2023-08-21T00:00:00"/>
    <d v="2023-08-27T00:00:00"/>
    <x v="1"/>
    <x v="2"/>
    <s v="Q3"/>
    <n v="6"/>
    <x v="1"/>
    <x v="4"/>
    <x v="2"/>
    <x v="5"/>
    <s v="Phones responsibility"/>
    <x v="97"/>
    <n v="4"/>
    <n v="0.02"/>
    <n v="456.69"/>
    <n v="45.980000000000018"/>
    <s v="profit"/>
  </r>
  <r>
    <s v="4064d53c-7971-4e2f-a7a0-9dfb3edcd019"/>
    <d v="2023-07-08T00:00:00"/>
    <d v="2023-07-15T00:00:00"/>
    <x v="1"/>
    <x v="7"/>
    <s v="Q3"/>
    <n v="7"/>
    <x v="0"/>
    <x v="2"/>
    <x v="0"/>
    <x v="0"/>
    <s v="Tables chance"/>
    <x v="98"/>
    <n v="8"/>
    <n v="0.35"/>
    <n v="137.03"/>
    <n v="144.41999999999999"/>
    <s v="profit"/>
  </r>
  <r>
    <s v="3f3dc203-3017-4054-8551-8b08ae15e581"/>
    <m/>
    <d v="2024-10-01T00:00:00"/>
    <x v="1"/>
    <x v="4"/>
    <s v="Q4"/>
    <n v="45566"/>
    <x v="4"/>
    <x v="6"/>
    <x v="2"/>
    <x v="2"/>
    <s v="Accessories ready"/>
    <x v="59"/>
    <n v="1"/>
    <n v="0.05"/>
    <n v="358.01"/>
    <e v="#VALUE!"/>
    <s v="profit"/>
  </r>
  <r>
    <s v="c3848075-e3ed-4399-bf80-e42f1161e7dc"/>
    <d v="2023-05-04T00:00:00"/>
    <d v="2023-05-07T00:00:00"/>
    <x v="2"/>
    <x v="8"/>
    <s v="Q2"/>
    <n v="3"/>
    <x v="1"/>
    <x v="4"/>
    <x v="1"/>
    <x v="1"/>
    <s v="Paper guy"/>
    <x v="99"/>
    <n v="4"/>
    <n v="0.31"/>
    <n v="376.99"/>
    <n v="184.09000000000003"/>
    <s v="profit"/>
  </r>
  <r>
    <s v="e8a545b1-e263-45fe-9c27-812b8a6f1077"/>
    <d v="2023-06-13T00:00:00"/>
    <d v="2023-06-14T00:00:00"/>
    <x v="1"/>
    <x v="3"/>
    <s v="Q3"/>
    <n v="1"/>
    <x v="3"/>
    <x v="7"/>
    <x v="1"/>
    <x v="4"/>
    <s v="Pens factor"/>
    <x v="100"/>
    <n v="4"/>
    <n v="0.32"/>
    <n v="626.44000000000005"/>
    <n v="330.53"/>
    <s v="profit"/>
  </r>
  <r>
    <s v="3b0612c8-349f-4698-a687-28a9fd6c9087"/>
    <d v="2023-04-01T00:00:00"/>
    <d v="2023-04-06T00:00:00"/>
    <x v="1"/>
    <x v="1"/>
    <s v="Q2"/>
    <n v="5"/>
    <x v="1"/>
    <x v="6"/>
    <x v="1"/>
    <x v="8"/>
    <s v="Binders cause"/>
    <x v="101"/>
    <n v="6"/>
    <n v="0.15"/>
    <n v="152.22"/>
    <n v="66.140000000000015"/>
    <s v="profit"/>
  </r>
  <r>
    <s v="d72e79f8-3b6b-4e8a-b020-dedc20ff39fa"/>
    <d v="2024-06-06T00:00:00"/>
    <d v="2024-06-15T00:00:00"/>
    <x v="1"/>
    <x v="3"/>
    <s v="Q3"/>
    <n v="9"/>
    <x v="2"/>
    <x v="1"/>
    <x v="0"/>
    <x v="7"/>
    <s v="Chairs firm"/>
    <x v="102"/>
    <n v="8"/>
    <n v="0.31"/>
    <n v="559.52"/>
    <n v="290.02"/>
    <s v="profit"/>
  </r>
  <r>
    <s v="345254a6-5ca4-4b29-bdd5-593273ff9078"/>
    <d v="2023-08-23T00:00:00"/>
    <d v="2023-08-23T00:00:00"/>
    <x v="0"/>
    <x v="2"/>
    <s v="Q3"/>
    <n v="0"/>
    <x v="3"/>
    <x v="4"/>
    <x v="1"/>
    <x v="1"/>
    <s v="Paper along"/>
    <x v="103"/>
    <n v="8"/>
    <n v="0.38"/>
    <n v="329.44"/>
    <n v="266.22999999999996"/>
    <s v="profit"/>
  </r>
  <r>
    <s v="7889f3fb-3342-4eb9-ab2f-69fe665d3df6"/>
    <d v="2024-11-10T00:00:00"/>
    <d v="2024-11-12T00:00:00"/>
    <x v="1"/>
    <x v="5"/>
    <s v="Q4"/>
    <n v="2"/>
    <x v="0"/>
    <x v="2"/>
    <x v="0"/>
    <x v="0"/>
    <s v="Tables their"/>
    <x v="104"/>
    <n v="9"/>
    <n v="0.09"/>
    <n v="600.91999999999996"/>
    <n v="73.840000000000032"/>
    <s v="profit"/>
  </r>
  <r>
    <s v="5320f1e1-7421-4f4f-a0e3-ccd9509e11dc"/>
    <d v="2024-07-24T00:00:00"/>
    <d v="2024-07-24T00:00:00"/>
    <x v="0"/>
    <x v="7"/>
    <s v="Q3"/>
    <n v="0"/>
    <x v="3"/>
    <x v="2"/>
    <x v="0"/>
    <x v="3"/>
    <s v="Bookcases great"/>
    <x v="105"/>
    <n v="4"/>
    <n v="0.45"/>
    <n v="267.27999999999997"/>
    <n v="295.52"/>
    <s v="profit"/>
  </r>
  <r>
    <s v="0f9d780b-7e2a-44a1-9dbf-b73ee8de2fb2"/>
    <d v="2024-06-09T00:00:00"/>
    <d v="2024-06-12T00:00:00"/>
    <x v="0"/>
    <x v="3"/>
    <s v="Q3"/>
    <n v="3"/>
    <x v="2"/>
    <x v="4"/>
    <x v="1"/>
    <x v="4"/>
    <s v="Pens full"/>
    <x v="106"/>
    <n v="4"/>
    <n v="0.46"/>
    <n v="130.46"/>
    <n v="144.89000000000001"/>
    <s v="profit"/>
  </r>
  <r>
    <s v="71f7cee3-1171-4262-b952-50628bbf05da"/>
    <d v="2023-02-11T00:00:00"/>
    <d v="2023-02-13T00:00:00"/>
    <x v="0"/>
    <x v="6"/>
    <s v="Q1"/>
    <n v="2"/>
    <x v="0"/>
    <x v="7"/>
    <x v="1"/>
    <x v="4"/>
    <s v="Pens response"/>
    <x v="107"/>
    <n v="5"/>
    <n v="0.34"/>
    <n v="273.11"/>
    <n v="200.05"/>
    <s v="profit"/>
  </r>
  <r>
    <s v="5685a04b-3e0c-4c19-be46-5c5c6a1cc342"/>
    <d v="2023-10-21T00:00:00"/>
    <d v="2023-10-29T00:00:00"/>
    <x v="1"/>
    <x v="4"/>
    <s v="Q4"/>
    <n v="8"/>
    <x v="2"/>
    <x v="6"/>
    <x v="1"/>
    <x v="8"/>
    <s v="Binders sense"/>
    <x v="108"/>
    <n v="7"/>
    <n v="0.21"/>
    <n v="229.38"/>
    <n v="121.60000000000002"/>
    <s v="profit"/>
  </r>
  <r>
    <s v="9a80ca83-22bd-4e1f-a3d8-4a98926ddf22"/>
    <d v="2024-07-22T00:00:00"/>
    <d v="2024-07-26T00:00:00"/>
    <x v="1"/>
    <x v="7"/>
    <s v="Q3"/>
    <n v="4"/>
    <x v="3"/>
    <x v="1"/>
    <x v="1"/>
    <x v="8"/>
    <s v="Binders too"/>
    <x v="109"/>
    <n v="8"/>
    <n v="0.3"/>
    <n v="401.79"/>
    <n v="213.33999999999997"/>
    <s v="profit"/>
  </r>
  <r>
    <s v="645ff5d0-4688-46ac-b1f0-19d11a6186df"/>
    <d v="2023-09-17T00:00:00"/>
    <d v="2023-09-25T00:00:00"/>
    <x v="0"/>
    <x v="11"/>
    <s v="Q4"/>
    <n v="8"/>
    <x v="3"/>
    <x v="5"/>
    <x v="2"/>
    <x v="2"/>
    <s v="Accessories half"/>
    <x v="110"/>
    <n v="5"/>
    <n v="0.42"/>
    <n v="201.63"/>
    <n v="176.86"/>
    <s v="profit"/>
  </r>
  <r>
    <s v="708bd452-2af4-40f1-ad19-13efa7868c3d"/>
    <d v="2023-12-30T00:00:00"/>
    <d v="2024-01-02T00:00:00"/>
    <x v="1"/>
    <x v="0"/>
    <s v="Q1"/>
    <n v="3"/>
    <x v="2"/>
    <x v="6"/>
    <x v="1"/>
    <x v="4"/>
    <s v="Pens power"/>
    <x v="111"/>
    <n v="5"/>
    <n v="0.22"/>
    <n v="470.59"/>
    <n v="173.58999999999997"/>
    <s v="profit"/>
  </r>
  <r>
    <s v="c1076bfc-9c74-4d6f-b3c0-e4e50aed517e"/>
    <d v="2024-06-20T00:00:00"/>
    <d v="2024-06-20T00:00:00"/>
    <x v="1"/>
    <x v="3"/>
    <s v="Q3"/>
    <n v="0"/>
    <x v="2"/>
    <x v="7"/>
    <x v="0"/>
    <x v="3"/>
    <s v="Bookcases these"/>
    <x v="112"/>
    <n v="6"/>
    <n v="0.21"/>
    <n v="617.19000000000005"/>
    <n v="178.52999999999997"/>
    <s v="profit"/>
  </r>
  <r>
    <s v="588f7065-bc8e-4987-ba8c-aaf4ab875ee3"/>
    <d v="2024-09-14T00:00:00"/>
    <d v="2024-09-15T00:00:00"/>
    <x v="0"/>
    <x v="11"/>
    <s v="Q4"/>
    <n v="1"/>
    <x v="1"/>
    <x v="4"/>
    <x v="1"/>
    <x v="8"/>
    <s v="Binders land"/>
    <x v="113"/>
    <n v="8"/>
    <n v="0.41"/>
    <n v="519.53"/>
    <n v="397.77"/>
    <s v="profit"/>
  </r>
  <r>
    <s v="5060b778-631f-4f6a-bcbc-71a41c727302"/>
    <d v="2024-05-06T00:00:00"/>
    <d v="2024-05-10T00:00:00"/>
    <x v="0"/>
    <x v="8"/>
    <s v="Q2"/>
    <n v="4"/>
    <x v="1"/>
    <x v="0"/>
    <x v="2"/>
    <x v="5"/>
    <s v="Phones thought"/>
    <x v="114"/>
    <n v="3"/>
    <n v="0.1"/>
    <n v="615.9"/>
    <n v="80.25"/>
    <s v="profit"/>
  </r>
  <r>
    <s v="ce79d624-0f61-4fe6-a5b0-c2833c870cdd"/>
    <d v="2024-10-27T00:00:00"/>
    <d v="2024-10-31T00:00:00"/>
    <x v="0"/>
    <x v="4"/>
    <s v="Q4"/>
    <n v="4"/>
    <x v="0"/>
    <x v="2"/>
    <x v="2"/>
    <x v="6"/>
    <s v="Laptops single"/>
    <x v="115"/>
    <n v="4"/>
    <n v="0.14000000000000001"/>
    <n v="624.71"/>
    <n v="129.5"/>
    <s v="profit"/>
  </r>
  <r>
    <s v="79b4551f-09f3-40f6-9b82-fd462560eba4"/>
    <d v="2023-03-01T00:00:00"/>
    <d v="2023-03-09T00:00:00"/>
    <x v="0"/>
    <x v="10"/>
    <s v="Q2"/>
    <n v="8"/>
    <x v="1"/>
    <x v="6"/>
    <x v="1"/>
    <x v="8"/>
    <s v="Binders pattern"/>
    <x v="116"/>
    <n v="5"/>
    <n v="0.39"/>
    <n v="284.04000000000002"/>
    <n v="252.45"/>
    <s v="profit"/>
  </r>
  <r>
    <s v="2b14a7f1-ab89-4902-bcae-39d0ab6344b4"/>
    <d v="2024-10-03T00:00:00"/>
    <d v="2024-10-07T00:00:00"/>
    <x v="1"/>
    <x v="4"/>
    <s v="Q4"/>
    <n v="4"/>
    <x v="1"/>
    <x v="1"/>
    <x v="0"/>
    <x v="0"/>
    <s v="Tables production"/>
    <x v="117"/>
    <n v="1"/>
    <n v="0.03"/>
    <n v="418.22"/>
    <n v="48.489999999999952"/>
    <s v="profit"/>
  </r>
  <r>
    <s v="8f12f1e4-b510-42c2-9c7d-6b835b987f2c"/>
    <d v="2024-01-24T00:00:00"/>
    <d v="2024-02-01T00:00:00"/>
    <x v="0"/>
    <x v="6"/>
    <s v="Q1"/>
    <n v="8"/>
    <x v="2"/>
    <x v="0"/>
    <x v="0"/>
    <x v="7"/>
    <s v="Chairs rule"/>
    <x v="118"/>
    <n v="7"/>
    <n v="0.28000000000000003"/>
    <n v="454.8"/>
    <n v="230.31"/>
    <s v="profit"/>
  </r>
  <r>
    <s v="97681d02-c59b-4aa4-9a2a-4d1e5b6ca218"/>
    <d v="2023-06-22T00:00:00"/>
    <d v="2023-06-25T00:00:00"/>
    <x v="0"/>
    <x v="3"/>
    <s v="Q3"/>
    <n v="3"/>
    <x v="3"/>
    <x v="7"/>
    <x v="1"/>
    <x v="4"/>
    <s v="Pens nation"/>
    <x v="119"/>
    <n v="7"/>
    <n v="0.36"/>
    <n v="112.06"/>
    <n v="97.66"/>
    <s v="profit"/>
  </r>
  <r>
    <s v="2c324da2-5865-46f2-905a-6fab9ada5a63"/>
    <d v="2023-10-17T00:00:00"/>
    <d v="2023-10-20T00:00:00"/>
    <x v="1"/>
    <x v="4"/>
    <s v="Q4"/>
    <n v="3"/>
    <x v="0"/>
    <x v="3"/>
    <x v="1"/>
    <x v="1"/>
    <s v="Paper energy"/>
    <x v="120"/>
    <n v="3"/>
    <n v="0.03"/>
    <n v="630.27"/>
    <n v="42.310000000000059"/>
    <s v="profit"/>
  </r>
  <r>
    <s v="23c3a87d-1daa-4f5d-8ef4-aee0ca4c3772"/>
    <d v="2024-01-25T00:00:00"/>
    <d v="2024-01-31T00:00:00"/>
    <x v="1"/>
    <x v="0"/>
    <s v="Q1"/>
    <n v="6"/>
    <x v="1"/>
    <x v="4"/>
    <x v="1"/>
    <x v="1"/>
    <s v="Paper give"/>
    <x v="121"/>
    <n v="7"/>
    <n v="0.14000000000000001"/>
    <n v="55.71"/>
    <n v="25.240000000000002"/>
    <s v="profit"/>
  </r>
  <r>
    <s v="1e11579d-ce29-47e3-ae73-69eca90f2a72"/>
    <d v="2023-04-09T00:00:00"/>
    <d v="2023-04-16T00:00:00"/>
    <x v="0"/>
    <x v="1"/>
    <s v="Q2"/>
    <n v="7"/>
    <x v="3"/>
    <x v="3"/>
    <x v="0"/>
    <x v="0"/>
    <s v="Tables expert"/>
    <x v="122"/>
    <n v="4"/>
    <n v="7.0000000000000007E-2"/>
    <n v="660.31"/>
    <n v="84.090000000000032"/>
    <s v="profit"/>
  </r>
  <r>
    <s v="9ed6477d-1b09-490d-954b-debe9bf2b878"/>
    <d v="2023-12-16T00:00:00"/>
    <d v="2023-12-17T00:00:00"/>
    <x v="1"/>
    <x v="9"/>
    <s v="Q4"/>
    <n v="1"/>
    <x v="1"/>
    <x v="7"/>
    <x v="0"/>
    <x v="0"/>
    <s v="Tables yeah"/>
    <x v="123"/>
    <n v="10"/>
    <n v="0.33"/>
    <n v="479.25"/>
    <n v="279.14"/>
    <s v="profit"/>
  </r>
  <r>
    <s v="21f7d9e6-5f1d-4d70-86f5-8cc79ee7903b"/>
    <d v="2024-06-11T00:00:00"/>
    <d v="2024-06-20T00:00:00"/>
    <x v="1"/>
    <x v="3"/>
    <s v="Q3"/>
    <n v="9"/>
    <x v="3"/>
    <x v="5"/>
    <x v="1"/>
    <x v="4"/>
    <s v="Pens few"/>
    <x v="124"/>
    <n v="3"/>
    <n v="0.42"/>
    <n v="479.79"/>
    <n v="406.84"/>
    <s v="profit"/>
  </r>
  <r>
    <s v="a8d0e480-ef69-4fd7-a4b7-6084e99e7375"/>
    <d v="2023-12-02T00:00:00"/>
    <d v="2023-12-07T00:00:00"/>
    <x v="0"/>
    <x v="9"/>
    <s v="Q4"/>
    <n v="5"/>
    <x v="2"/>
    <x v="4"/>
    <x v="1"/>
    <x v="1"/>
    <s v="Paper yeah"/>
    <x v="125"/>
    <n v="2"/>
    <n v="0.12"/>
    <n v="267.58999999999997"/>
    <n v="70.090000000000032"/>
    <s v="profit"/>
  </r>
  <r>
    <s v="ee8263cd-0c08-4d03-a94e-67cefa617fcf"/>
    <d v="2024-05-10T00:00:00"/>
    <d v="2024-05-12T00:00:00"/>
    <x v="1"/>
    <x v="8"/>
    <s v="Q2"/>
    <n v="2"/>
    <x v="2"/>
    <x v="6"/>
    <x v="2"/>
    <x v="5"/>
    <s v="Phones sea"/>
    <x v="126"/>
    <n v="3"/>
    <n v="0.26"/>
    <n v="583.67999999999995"/>
    <n v="224.04000000000008"/>
    <s v="profit"/>
  </r>
  <r>
    <s v="d2d312c7-8b00-412c-b6e1-ee0f5713cd3e"/>
    <d v="2024-08-10T00:00:00"/>
    <d v="2024-08-12T00:00:00"/>
    <x v="0"/>
    <x v="2"/>
    <s v="Q3"/>
    <n v="2"/>
    <x v="1"/>
    <x v="2"/>
    <x v="1"/>
    <x v="1"/>
    <s v="Paper several"/>
    <x v="127"/>
    <n v="4"/>
    <n v="0.03"/>
    <n v="136.46"/>
    <n v="41.56"/>
    <s v="profit"/>
  </r>
  <r>
    <s v="587baebe-cea8-4537-85d6-19629d5a1677"/>
    <d v="2023-03-14T00:00:00"/>
    <d v="2023-03-17T00:00:00"/>
    <x v="0"/>
    <x v="10"/>
    <s v="Q2"/>
    <n v="3"/>
    <x v="0"/>
    <x v="3"/>
    <x v="2"/>
    <x v="5"/>
    <s v="Phones at"/>
    <x v="128"/>
    <n v="10"/>
    <n v="0.32"/>
    <n v="-8.2100000000000009"/>
    <n v="51.050000000000004"/>
    <s v="loss"/>
  </r>
  <r>
    <s v="d2ac3849-ece3-4c16-a154-0febde5a0f06"/>
    <d v="2023-12-10T00:00:00"/>
    <d v="2023-12-10T00:00:00"/>
    <x v="1"/>
    <x v="9"/>
    <s v="Q4"/>
    <n v="0"/>
    <x v="2"/>
    <x v="2"/>
    <x v="1"/>
    <x v="1"/>
    <s v="Paper term"/>
    <x v="129"/>
    <n v="8"/>
    <n v="0.33"/>
    <n v="378.98"/>
    <n v="251.30999999999995"/>
    <s v="profit"/>
  </r>
  <r>
    <s v="31b27a55-eefe-4324-ace1-7ca72e6c31c7"/>
    <d v="2023-02-11T00:00:00"/>
    <d v="2023-02-16T00:00:00"/>
    <x v="1"/>
    <x v="6"/>
    <s v="Q1"/>
    <n v="5"/>
    <x v="2"/>
    <x v="7"/>
    <x v="2"/>
    <x v="2"/>
    <s v="Accessories Democrat"/>
    <x v="130"/>
    <n v="9"/>
    <n v="0.48"/>
    <n v="-7.25"/>
    <n v="67.16"/>
    <s v="loss"/>
  </r>
  <r>
    <s v="694b9258-7d98-4889-a2db-de650c50296f"/>
    <d v="2023-03-22T00:00:00"/>
    <d v="2023-03-30T00:00:00"/>
    <x v="1"/>
    <x v="10"/>
    <s v="Q2"/>
    <n v="8"/>
    <x v="1"/>
    <x v="6"/>
    <x v="1"/>
    <x v="8"/>
    <s v="Binders last"/>
    <x v="131"/>
    <n v="6"/>
    <n v="0.16"/>
    <n v="333.16"/>
    <n v="109.86999999999995"/>
    <s v="profit"/>
  </r>
  <r>
    <s v="0a7409c7-6cf4-446f-974f-d5897e0d20a1"/>
    <d v="2023-11-03T00:00:00"/>
    <d v="2023-11-07T00:00:00"/>
    <x v="1"/>
    <x v="5"/>
    <s v="Q4"/>
    <n v="4"/>
    <x v="3"/>
    <x v="1"/>
    <x v="0"/>
    <x v="0"/>
    <s v="Tables raise"/>
    <x v="132"/>
    <n v="10"/>
    <n v="0.42"/>
    <n v="478.96"/>
    <n v="388.11000000000007"/>
    <s v="profit"/>
  </r>
  <r>
    <s v="4402054e-2e55-40fc-b3fd-8224f5388686"/>
    <d v="2023-01-29T00:00:00"/>
    <d v="2023-02-02T00:00:00"/>
    <x v="1"/>
    <x v="6"/>
    <s v="Q1"/>
    <n v="4"/>
    <x v="3"/>
    <x v="0"/>
    <x v="0"/>
    <x v="3"/>
    <s v="Bookcases public"/>
    <x v="133"/>
    <n v="3"/>
    <n v="0.01"/>
    <n v="494.95"/>
    <n v="23.520000000000039"/>
    <s v="profit"/>
  </r>
  <r>
    <s v="5d60f2c8-850c-4145-bc3d-c5a5664a3e14"/>
    <d v="2024-05-25T00:00:00"/>
    <d v="2024-05-25T00:00:00"/>
    <x v="1"/>
    <x v="8"/>
    <s v="Q2"/>
    <n v="0"/>
    <x v="3"/>
    <x v="4"/>
    <x v="2"/>
    <x v="6"/>
    <s v="Laptops front"/>
    <x v="134"/>
    <n v="10"/>
    <n v="0.12"/>
    <n v="827.69"/>
    <n v="140.4799999999999"/>
    <s v="profit"/>
  </r>
  <r>
    <s v="06043131-5964-44e5-b350-a44837d5c0e1"/>
    <m/>
    <d v="2023-03-29T00:00:00"/>
    <x v="0"/>
    <x v="10"/>
    <s v="Q2"/>
    <n v="45014"/>
    <x v="4"/>
    <x v="5"/>
    <x v="2"/>
    <x v="2"/>
    <s v="Accessories their"/>
    <x v="59"/>
    <n v="10"/>
    <n v="0.36"/>
    <n v="52.22"/>
    <e v="#VALUE!"/>
    <s v="profit"/>
  </r>
  <r>
    <s v="4cc33b06-b6ad-4271-bfaa-7cd6bf3366ae"/>
    <d v="2023-01-06T00:00:00"/>
    <d v="2023-01-11T00:00:00"/>
    <x v="2"/>
    <x v="0"/>
    <s v="Q1"/>
    <n v="5"/>
    <x v="3"/>
    <x v="5"/>
    <x v="1"/>
    <x v="1"/>
    <s v="Paper five"/>
    <x v="135"/>
    <n v="6"/>
    <n v="0.33"/>
    <n v="382.92"/>
    <n v="226.72999999999996"/>
    <s v="profit"/>
  </r>
  <r>
    <s v="ca525f98-6a96-4d41-b895-94034d68b9d9"/>
    <d v="2023-11-05T00:00:00"/>
    <d v="2023-11-11T00:00:00"/>
    <x v="1"/>
    <x v="5"/>
    <s v="Q4"/>
    <n v="6"/>
    <x v="2"/>
    <x v="1"/>
    <x v="0"/>
    <x v="3"/>
    <s v="Bookcases sure"/>
    <x v="136"/>
    <n v="6"/>
    <n v="0.45"/>
    <n v="233.64"/>
    <n v="252.21000000000004"/>
    <s v="profit"/>
  </r>
  <r>
    <s v="b27031b0-b19b-47f7-a0da-07e2ccb5c1b0"/>
    <d v="2023-07-26T00:00:00"/>
    <d v="2023-08-01T00:00:00"/>
    <x v="1"/>
    <x v="2"/>
    <s v="Q3"/>
    <n v="6"/>
    <x v="3"/>
    <x v="6"/>
    <x v="0"/>
    <x v="3"/>
    <s v="Bookcases size"/>
    <x v="137"/>
    <n v="7"/>
    <n v="0.21"/>
    <n v="308.95999999999998"/>
    <n v="144.83000000000004"/>
    <s v="profit"/>
  </r>
  <r>
    <s v="89854508-20c6-4ba3-a5ae-f7294cb78539"/>
    <d v="2023-07-16T00:00:00"/>
    <d v="2023-07-16T00:00:00"/>
    <x v="1"/>
    <x v="7"/>
    <s v="Q3"/>
    <n v="0"/>
    <x v="2"/>
    <x v="0"/>
    <x v="0"/>
    <x v="7"/>
    <s v="Chairs hot"/>
    <x v="138"/>
    <n v="3"/>
    <n v="0.4"/>
    <n v="128.62"/>
    <n v="134.32"/>
    <s v="profit"/>
  </r>
  <r>
    <s v="f7a7f1e1-538e-4bf9-a776-251587c3f82e"/>
    <d v="2024-11-15T00:00:00"/>
    <d v="2024-11-16T00:00:00"/>
    <x v="1"/>
    <x v="5"/>
    <s v="Q4"/>
    <n v="1"/>
    <x v="3"/>
    <x v="7"/>
    <x v="1"/>
    <x v="8"/>
    <s v="Binders young"/>
    <x v="139"/>
    <n v="8"/>
    <n v="0.48"/>
    <n v="120.79"/>
    <n v="194.73999999999995"/>
    <s v="profit"/>
  </r>
  <r>
    <s v="769d25f7-7c4a-424c-b64e-8c15ee36092f"/>
    <d v="2024-06-25T00:00:00"/>
    <d v="2024-07-04T00:00:00"/>
    <x v="0"/>
    <x v="7"/>
    <s v="Q3"/>
    <n v="9"/>
    <x v="3"/>
    <x v="7"/>
    <x v="1"/>
    <x v="4"/>
    <s v="Pens first"/>
    <x v="140"/>
    <n v="2"/>
    <n v="0.13"/>
    <n v="456.91"/>
    <n v="90.19"/>
    <s v="profit"/>
  </r>
  <r>
    <s v="06896943-cb28-4f72-b813-2415707dbadc"/>
    <d v="2024-11-15T00:00:00"/>
    <d v="2024-11-22T00:00:00"/>
    <x v="0"/>
    <x v="5"/>
    <s v="Q4"/>
    <n v="7"/>
    <x v="1"/>
    <x v="2"/>
    <x v="2"/>
    <x v="2"/>
    <s v="Accessories wonder"/>
    <x v="141"/>
    <n v="2"/>
    <n v="0.09"/>
    <n v="425.45"/>
    <n v="83.020000000000039"/>
    <s v="profit"/>
  </r>
  <r>
    <s v="a4080795-3aec-4f6c-9af7-3e99e21ad529"/>
    <d v="2023-06-20T00:00:00"/>
    <d v="2023-06-20T00:00:00"/>
    <x v="0"/>
    <x v="3"/>
    <s v="Q3"/>
    <n v="0"/>
    <x v="2"/>
    <x v="1"/>
    <x v="1"/>
    <x v="4"/>
    <s v="Pens experience"/>
    <x v="142"/>
    <n v="4"/>
    <n v="0.02"/>
    <n v="642.33000000000004"/>
    <n v="55.579999999999927"/>
    <s v="profit"/>
  </r>
  <r>
    <s v="31c12299-5b84-4445-bdee-a6c00a23ea5e"/>
    <d v="2023-06-04T00:00:00"/>
    <d v="2023-06-12T00:00:00"/>
    <x v="1"/>
    <x v="3"/>
    <s v="Q3"/>
    <n v="8"/>
    <x v="1"/>
    <x v="5"/>
    <x v="1"/>
    <x v="1"/>
    <s v="Paper project"/>
    <x v="143"/>
    <n v="8"/>
    <n v="0.01"/>
    <n v="303.61"/>
    <n v="53.199999999999989"/>
    <s v="profit"/>
  </r>
  <r>
    <s v="47ab275b-250c-4afd-ba1d-4ee76ed3be35"/>
    <d v="2023-10-13T00:00:00"/>
    <d v="2023-10-16T00:00:00"/>
    <x v="1"/>
    <x v="4"/>
    <s v="Q4"/>
    <n v="3"/>
    <x v="2"/>
    <x v="7"/>
    <x v="2"/>
    <x v="2"/>
    <s v="Accessories difference"/>
    <x v="144"/>
    <n v="7"/>
    <n v="0.4"/>
    <n v="432.71"/>
    <n v="329.84"/>
    <s v="profit"/>
  </r>
  <r>
    <s v="e87913e9-d10a-43d3-8225-143d0bb1d8b2"/>
    <d v="2024-12-01T00:00:00"/>
    <d v="2024-12-07T00:00:00"/>
    <x v="1"/>
    <x v="9"/>
    <s v="Q4"/>
    <n v="6"/>
    <x v="2"/>
    <x v="2"/>
    <x v="1"/>
    <x v="1"/>
    <s v="Paper street"/>
    <x v="145"/>
    <n v="4"/>
    <n v="0.4"/>
    <n v="272.74"/>
    <n v="217.05"/>
    <s v="profit"/>
  </r>
  <r>
    <s v="403c50c0-e079-4b9f-9e63-22b7208fc468"/>
    <d v="2024-02-01T00:00:00"/>
    <d v="2024-02-05T00:00:00"/>
    <x v="0"/>
    <x v="6"/>
    <s v="Q1"/>
    <n v="4"/>
    <x v="0"/>
    <x v="4"/>
    <x v="2"/>
    <x v="6"/>
    <s v="Laptops herself"/>
    <x v="146"/>
    <n v="9"/>
    <n v="0.32"/>
    <n v="13.11"/>
    <n v="30.36"/>
    <s v="profit"/>
  </r>
  <r>
    <s v="707ce1af-6721-4033-861c-d49aee905bb9"/>
    <d v="2023-06-20T00:00:00"/>
    <d v="2023-06-28T00:00:00"/>
    <x v="0"/>
    <x v="3"/>
    <s v="Q3"/>
    <n v="8"/>
    <x v="3"/>
    <x v="2"/>
    <x v="1"/>
    <x v="4"/>
    <s v="Pens morning"/>
    <x v="147"/>
    <n v="1"/>
    <n v="0.31"/>
    <n v="7.49"/>
    <n v="35.85"/>
    <s v="profit"/>
  </r>
  <r>
    <s v="a51d2ea9-a73c-4ff6-9e01-e1ea7ffec996"/>
    <d v="2024-11-06T00:00:00"/>
    <d v="2024-11-08T00:00:00"/>
    <x v="1"/>
    <x v="5"/>
    <s v="Q4"/>
    <n v="2"/>
    <x v="0"/>
    <x v="5"/>
    <x v="2"/>
    <x v="2"/>
    <s v="Accessories next"/>
    <x v="148"/>
    <n v="1"/>
    <n v="0.49"/>
    <n v="34.909999999999997"/>
    <n v="81.88000000000001"/>
    <s v="profit"/>
  </r>
  <r>
    <s v="3f57d32c-28fd-47d4-8119-455cc42ca9d4"/>
    <d v="2023-12-01T00:00:00"/>
    <d v="2023-12-09T00:00:00"/>
    <x v="0"/>
    <x v="9"/>
    <s v="Q4"/>
    <n v="8"/>
    <x v="2"/>
    <x v="4"/>
    <x v="2"/>
    <x v="2"/>
    <s v="Accessories politics"/>
    <x v="149"/>
    <n v="8"/>
    <n v="0.26"/>
    <n v="221.06"/>
    <n v="120.69"/>
    <s v="profit"/>
  </r>
  <r>
    <s v="cd5ab7d6-56ea-4278-80ff-4bd8e48cc97b"/>
    <d v="2023-01-26T00:00:00"/>
    <d v="2023-02-02T00:00:00"/>
    <x v="1"/>
    <x v="6"/>
    <s v="Q1"/>
    <n v="7"/>
    <x v="2"/>
    <x v="7"/>
    <x v="1"/>
    <x v="1"/>
    <s v="Paper suggest"/>
    <x v="150"/>
    <n v="5"/>
    <n v="0.37"/>
    <n v="442.39"/>
    <n v="281.5"/>
    <s v="profit"/>
  </r>
  <r>
    <s v="6b9501f9-1c64-41fc-979b-02c0d6869bc4"/>
    <d v="2023-07-07T00:00:00"/>
    <d v="2023-07-15T00:00:00"/>
    <x v="1"/>
    <x v="7"/>
    <s v="Q3"/>
    <n v="8"/>
    <x v="0"/>
    <x v="5"/>
    <x v="2"/>
    <x v="2"/>
    <s v="Accessories similar"/>
    <x v="151"/>
    <n v="9"/>
    <n v="0.27"/>
    <n v="89.8"/>
    <n v="91.160000000000011"/>
    <s v="profit"/>
  </r>
  <r>
    <s v="9a47b7f8-5893-49a3-b7de-f1ee59485ca8"/>
    <d v="2024-04-08T00:00:00"/>
    <d v="2024-04-16T00:00:00"/>
    <x v="1"/>
    <x v="1"/>
    <s v="Q2"/>
    <n v="8"/>
    <x v="2"/>
    <x v="3"/>
    <x v="2"/>
    <x v="5"/>
    <s v="Phones conference"/>
    <x v="152"/>
    <n v="10"/>
    <n v="0.25"/>
    <n v="389.46"/>
    <n v="178.54000000000002"/>
    <s v="profit"/>
  </r>
  <r>
    <s v="e2255e2c-b760-49aa-9841-0e608818009b"/>
    <d v="2024-03-05T00:00:00"/>
    <d v="2024-03-07T00:00:00"/>
    <x v="0"/>
    <x v="10"/>
    <s v="Q2"/>
    <n v="2"/>
    <x v="3"/>
    <x v="0"/>
    <x v="2"/>
    <x v="5"/>
    <s v="Phones stage"/>
    <x v="153"/>
    <n v="4"/>
    <n v="0.49"/>
    <n v="297.39999999999998"/>
    <n v="308.12"/>
    <s v="profit"/>
  </r>
  <r>
    <s v="92873457-8359-4a67-9fbf-e057e6035942"/>
    <d v="2024-02-15T00:00:00"/>
    <d v="2024-02-22T00:00:00"/>
    <x v="0"/>
    <x v="6"/>
    <s v="Q1"/>
    <n v="7"/>
    <x v="2"/>
    <x v="4"/>
    <x v="0"/>
    <x v="3"/>
    <s v="Bookcases learn"/>
    <x v="154"/>
    <n v="5"/>
    <n v="0.44"/>
    <n v="143.55000000000001"/>
    <n v="189.57999999999998"/>
    <s v="profit"/>
  </r>
  <r>
    <s v="6c17edc3-8499-4e73-b1e3-83b554530fb4"/>
    <d v="2023-04-06T00:00:00"/>
    <d v="2023-04-14T00:00:00"/>
    <x v="0"/>
    <x v="1"/>
    <s v="Q2"/>
    <n v="8"/>
    <x v="3"/>
    <x v="0"/>
    <x v="2"/>
    <x v="2"/>
    <s v="Accessories last"/>
    <x v="155"/>
    <n v="4"/>
    <n v="0.06"/>
    <n v="168.11"/>
    <n v="58.299999999999983"/>
    <s v="profit"/>
  </r>
  <r>
    <s v="9f5e8f7d-b623-4228-b5c4-107616a9dd5f"/>
    <d v="2023-03-23T00:00:00"/>
    <d v="2023-03-25T00:00:00"/>
    <x v="1"/>
    <x v="10"/>
    <s v="Q2"/>
    <n v="2"/>
    <x v="0"/>
    <x v="1"/>
    <x v="0"/>
    <x v="0"/>
    <s v="Tables sense"/>
    <x v="156"/>
    <n v="4"/>
    <n v="0.2"/>
    <n v="350.29"/>
    <n v="146.46999999999997"/>
    <s v="profit"/>
  </r>
  <r>
    <s v="3b854875-b0c9-49d2-902d-f4eee259e3fd"/>
    <d v="2023-03-16T00:00:00"/>
    <d v="2023-03-21T00:00:00"/>
    <x v="1"/>
    <x v="10"/>
    <s v="Q2"/>
    <n v="5"/>
    <x v="0"/>
    <x v="5"/>
    <x v="1"/>
    <x v="8"/>
    <s v="Binders threat"/>
    <x v="157"/>
    <n v="1"/>
    <n v="0.49"/>
    <n v="273.02999999999997"/>
    <n v="291.05000000000007"/>
    <s v="profit"/>
  </r>
  <r>
    <s v="5042aa31-e1fb-4995-9a25-266e5be80468"/>
    <d v="2024-04-29T00:00:00"/>
    <d v="2024-05-05T00:00:00"/>
    <x v="1"/>
    <x v="8"/>
    <s v="Q2"/>
    <n v="6"/>
    <x v="0"/>
    <x v="6"/>
    <x v="2"/>
    <x v="6"/>
    <s v="Laptops place"/>
    <x v="158"/>
    <n v="9"/>
    <n v="0.2"/>
    <n v="404.4"/>
    <n v="152.30000000000007"/>
    <s v="profit"/>
  </r>
  <r>
    <s v="e27a17a3-296f-4dfb-a2c4-aad195aaed06"/>
    <d v="2024-09-15T00:00:00"/>
    <d v="2024-09-21T00:00:00"/>
    <x v="0"/>
    <x v="11"/>
    <s v="Q4"/>
    <n v="6"/>
    <x v="1"/>
    <x v="7"/>
    <x v="0"/>
    <x v="3"/>
    <s v="Bookcases back"/>
    <x v="159"/>
    <n v="7"/>
    <n v="0.23"/>
    <n v="86.19"/>
    <n v="55.789999999999992"/>
    <s v="profit"/>
  </r>
  <r>
    <s v="69b12446-8b10-41b5-ab0c-d6f3e39dfdd9"/>
    <d v="2023-07-16T00:00:00"/>
    <d v="2023-07-17T00:00:00"/>
    <x v="0"/>
    <x v="7"/>
    <s v="Q3"/>
    <n v="1"/>
    <x v="2"/>
    <x v="6"/>
    <x v="0"/>
    <x v="7"/>
    <s v="Chairs drug"/>
    <x v="160"/>
    <n v="10"/>
    <n v="0.49"/>
    <n v="313.66000000000003"/>
    <n v="360.78000000000003"/>
    <s v="profit"/>
  </r>
  <r>
    <s v="a0e07c89-7adb-42c3-9cc8-bf8042c6dfb3"/>
    <d v="2024-11-17T00:00:00"/>
    <d v="2024-11-25T00:00:00"/>
    <x v="1"/>
    <x v="5"/>
    <s v="Q4"/>
    <n v="8"/>
    <x v="1"/>
    <x v="0"/>
    <x v="0"/>
    <x v="7"/>
    <s v="Chairs film"/>
    <x v="161"/>
    <n v="2"/>
    <n v="0.21"/>
    <n v="565.14"/>
    <n v="203.55000000000007"/>
    <s v="profit"/>
  </r>
  <r>
    <s v="5135e0ec-c02b-4913-9cfd-02f201f7de6c"/>
    <d v="2023-12-26T00:00:00"/>
    <d v="2023-12-29T00:00:00"/>
    <x v="0"/>
    <x v="9"/>
    <s v="Q4"/>
    <n v="3"/>
    <x v="1"/>
    <x v="7"/>
    <x v="1"/>
    <x v="8"/>
    <s v="Binders early"/>
    <x v="162"/>
    <n v="2"/>
    <n v="0.09"/>
    <n v="585.03"/>
    <n v="78.290000000000077"/>
    <s v="profit"/>
  </r>
  <r>
    <s v="07551023-bfa5-471a-bc75-b7a1fa9746a1"/>
    <d v="2024-01-27T00:00:00"/>
    <d v="2024-02-04T00:00:00"/>
    <x v="1"/>
    <x v="6"/>
    <s v="Q1"/>
    <n v="8"/>
    <x v="2"/>
    <x v="7"/>
    <x v="1"/>
    <x v="8"/>
    <s v="Binders effect"/>
    <x v="163"/>
    <n v="8"/>
    <n v="0.2"/>
    <n v="252.12"/>
    <n v="91.269999999999982"/>
    <s v="profit"/>
  </r>
  <r>
    <s v="9f36cea9-f7b5-4f6b-ab0a-fc1db6fa67fa"/>
    <d v="2024-02-08T00:00:00"/>
    <d v="2024-02-09T00:00:00"/>
    <x v="0"/>
    <x v="6"/>
    <s v="Q1"/>
    <n v="1"/>
    <x v="1"/>
    <x v="0"/>
    <x v="0"/>
    <x v="7"/>
    <s v="Chairs reflect"/>
    <x v="164"/>
    <n v="6"/>
    <n v="0.43"/>
    <n v="435.53"/>
    <n v="349.47"/>
    <s v="profit"/>
  </r>
  <r>
    <s v="a9f52abd-c441-444b-92bd-b4f3ad44bf00"/>
    <d v="2024-08-20T00:00:00"/>
    <d v="2024-08-21T00:00:00"/>
    <x v="0"/>
    <x v="2"/>
    <s v="Q3"/>
    <n v="1"/>
    <x v="3"/>
    <x v="4"/>
    <x v="0"/>
    <x v="7"/>
    <s v="Chairs right"/>
    <x v="165"/>
    <n v="7"/>
    <n v="0.13"/>
    <n v="482.08"/>
    <n v="86.990000000000066"/>
    <s v="profit"/>
  </r>
  <r>
    <s v="831a35c1-1518-43ef-95c8-950ace8f22eb"/>
    <d v="2024-03-05T00:00:00"/>
    <d v="2024-03-11T00:00:00"/>
    <x v="0"/>
    <x v="10"/>
    <s v="Q2"/>
    <n v="6"/>
    <x v="2"/>
    <x v="0"/>
    <x v="1"/>
    <x v="4"/>
    <s v="Pens nature"/>
    <x v="166"/>
    <n v="1"/>
    <n v="0.36"/>
    <n v="587.27"/>
    <n v="390.38"/>
    <s v="profit"/>
  </r>
  <r>
    <s v="5323b2b3-3055-421e-a76b-ead06b162359"/>
    <d v="2023-12-10T00:00:00"/>
    <d v="2023-12-13T00:00:00"/>
    <x v="0"/>
    <x v="9"/>
    <s v="Q4"/>
    <n v="3"/>
    <x v="0"/>
    <x v="2"/>
    <x v="0"/>
    <x v="3"/>
    <s v="Bookcases game"/>
    <x v="167"/>
    <n v="3"/>
    <n v="0.35"/>
    <n v="108.9"/>
    <n v="88.739999999999981"/>
    <s v="profit"/>
  </r>
  <r>
    <s v="f28cf5e5-b53c-467f-9297-450db9669cf8"/>
    <d v="2023-04-25T00:00:00"/>
    <d v="2023-04-28T00:00:00"/>
    <x v="1"/>
    <x v="1"/>
    <s v="Q2"/>
    <n v="3"/>
    <x v="3"/>
    <x v="6"/>
    <x v="0"/>
    <x v="3"/>
    <s v="Bookcases important"/>
    <x v="168"/>
    <n v="7"/>
    <n v="0.17"/>
    <n v="407.53"/>
    <n v="102.91000000000003"/>
    <s v="profit"/>
  </r>
  <r>
    <s v="8eb885a5-a567-4dc6-93db-8e86a6c238f7"/>
    <m/>
    <d v="2024-01-28T00:00:00"/>
    <x v="1"/>
    <x v="0"/>
    <s v="Q1"/>
    <n v="45319"/>
    <x v="4"/>
    <x v="4"/>
    <x v="2"/>
    <x v="6"/>
    <s v="Laptops improve"/>
    <x v="59"/>
    <n v="1"/>
    <n v="0.27"/>
    <n v="193.16"/>
    <e v="#VALUE!"/>
    <s v="profit"/>
  </r>
  <r>
    <s v="3399fcf7-7897-4c94-9959-d9f95296b4b5"/>
    <d v="2022-12-16T00:00:00"/>
    <d v="2022-12-23T00:00:00"/>
    <x v="2"/>
    <x v="9"/>
    <s v="Q4"/>
    <n v="7"/>
    <x v="2"/>
    <x v="7"/>
    <x v="1"/>
    <x v="8"/>
    <s v="Binders add"/>
    <x v="169"/>
    <n v="3"/>
    <n v="0.47"/>
    <n v="212.22"/>
    <n v="210.67999999999998"/>
    <s v="profit"/>
  </r>
  <r>
    <s v="4a509bf6-3b90-4b34-bd3f-68bda4eac0cb"/>
    <d v="2024-05-16T00:00:00"/>
    <d v="2024-05-23T00:00:00"/>
    <x v="3"/>
    <x v="8"/>
    <s v="Q2"/>
    <n v="7"/>
    <x v="0"/>
    <x v="7"/>
    <x v="1"/>
    <x v="1"/>
    <s v="Paper president"/>
    <x v="170"/>
    <n v="4"/>
    <n v="0.34"/>
    <n v="609.88"/>
    <n v="336.46000000000004"/>
    <s v="profit"/>
  </r>
  <r>
    <s v="53294055-26dc-4148-a11f-5adf62fd27d3"/>
    <d v="2023-12-06T00:00:00"/>
    <d v="2023-12-09T00:00:00"/>
    <x v="0"/>
    <x v="9"/>
    <s v="Q4"/>
    <n v="3"/>
    <x v="3"/>
    <x v="2"/>
    <x v="1"/>
    <x v="4"/>
    <s v="Pens per"/>
    <x v="171"/>
    <n v="2"/>
    <n v="7.0000000000000007E-2"/>
    <n v="545.4"/>
    <n v="86.259999999999991"/>
    <s v="profit"/>
  </r>
  <r>
    <s v="a811e883-c162-4bfa-8dff-5233d9b8b869"/>
    <d v="2023-07-01T00:00:00"/>
    <d v="2023-07-03T00:00:00"/>
    <x v="1"/>
    <x v="7"/>
    <s v="Q3"/>
    <n v="2"/>
    <x v="0"/>
    <x v="7"/>
    <x v="0"/>
    <x v="7"/>
    <s v="Chairs eat"/>
    <x v="172"/>
    <n v="8"/>
    <n v="0.31"/>
    <n v="168.59"/>
    <n v="125.52000000000001"/>
    <s v="profit"/>
  </r>
  <r>
    <s v="e74e7452-9471-482d-8a24-6c11e653e462"/>
    <d v="2024-03-19T00:00:00"/>
    <d v="2024-03-27T00:00:00"/>
    <x v="1"/>
    <x v="10"/>
    <s v="Q2"/>
    <n v="8"/>
    <x v="2"/>
    <x v="7"/>
    <x v="0"/>
    <x v="7"/>
    <s v="Chairs coach"/>
    <x v="173"/>
    <n v="3"/>
    <n v="0.09"/>
    <n v="2.1"/>
    <n v="39.229999999999997"/>
    <s v="profit"/>
  </r>
  <r>
    <s v="e82c56f4-b188-46c2-87ad-e4f25e2b2f59"/>
    <d v="2024-01-21T00:00:00"/>
    <d v="2024-01-22T00:00:00"/>
    <x v="0"/>
    <x v="0"/>
    <s v="Q1"/>
    <n v="1"/>
    <x v="2"/>
    <x v="5"/>
    <x v="1"/>
    <x v="4"/>
    <s v="Pens blood"/>
    <x v="174"/>
    <n v="7"/>
    <n v="0.08"/>
    <n v="810.27"/>
    <n v="110.64999999999998"/>
    <s v="profit"/>
  </r>
  <r>
    <s v="3d24b173-90e3-4bdf-9d18-d7cb02d7a08d"/>
    <d v="2023-03-12T00:00:00"/>
    <d v="2023-03-13T00:00:00"/>
    <x v="0"/>
    <x v="10"/>
    <s v="Q2"/>
    <n v="1"/>
    <x v="3"/>
    <x v="1"/>
    <x v="1"/>
    <x v="4"/>
    <s v="Pens would"/>
    <x v="175"/>
    <n v="10"/>
    <n v="0.01"/>
    <n v="390.36"/>
    <n v="30.589999999999975"/>
    <s v="profit"/>
  </r>
  <r>
    <s v="73db22ee-28ff-4f1b-aec7-b36484b59e0b"/>
    <d v="2023-08-09T00:00:00"/>
    <d v="2023-08-17T00:00:00"/>
    <x v="1"/>
    <x v="2"/>
    <s v="Q3"/>
    <n v="8"/>
    <x v="2"/>
    <x v="1"/>
    <x v="2"/>
    <x v="5"/>
    <s v="Phones maintain"/>
    <x v="176"/>
    <n v="2"/>
    <n v="0.18"/>
    <n v="569.5"/>
    <n v="150.41999999999996"/>
    <s v="profit"/>
  </r>
  <r>
    <s v="55e8f06d-8f50-4e35-b6b8-6133d35eb567"/>
    <d v="2023-10-31T00:00:00"/>
    <d v="2023-11-07T00:00:00"/>
    <x v="1"/>
    <x v="5"/>
    <s v="Q4"/>
    <n v="7"/>
    <x v="0"/>
    <x v="4"/>
    <x v="0"/>
    <x v="0"/>
    <s v="Tables task"/>
    <x v="177"/>
    <n v="5"/>
    <n v="0.14000000000000001"/>
    <n v="783.02"/>
    <n v="149.21000000000004"/>
    <s v="profit"/>
  </r>
  <r>
    <s v="5c6c0b7b-d385-4090-b043-a106a60625bd"/>
    <d v="2023-06-02T00:00:00"/>
    <d v="2023-06-07T00:00:00"/>
    <x v="1"/>
    <x v="3"/>
    <s v="Q3"/>
    <n v="5"/>
    <x v="1"/>
    <x v="1"/>
    <x v="0"/>
    <x v="0"/>
    <s v="Tables task"/>
    <x v="178"/>
    <n v="7"/>
    <n v="0.02"/>
    <n v="224.91"/>
    <n v="99774.09"/>
    <s v="profit"/>
  </r>
  <r>
    <s v="ad018eb5-8dd4-409e-a822-cb105aa80d5b"/>
    <d v="2023-04-17T00:00:00"/>
    <d v="2023-04-19T00:00:00"/>
    <x v="1"/>
    <x v="1"/>
    <s v="Q2"/>
    <n v="2"/>
    <x v="2"/>
    <x v="1"/>
    <x v="1"/>
    <x v="4"/>
    <s v="Pens night"/>
    <x v="179"/>
    <n v="2"/>
    <n v="0.12"/>
    <n v="80.86"/>
    <n v="34.180000000000007"/>
    <s v="profit"/>
  </r>
  <r>
    <s v="0615f0e4-8a7e-4c7a-a74f-581d54503faa"/>
    <d v="2023-11-13T00:00:00"/>
    <d v="2023-11-21T00:00:00"/>
    <x v="1"/>
    <x v="5"/>
    <s v="Q4"/>
    <n v="8"/>
    <x v="0"/>
    <x v="7"/>
    <x v="0"/>
    <x v="0"/>
    <s v="Tables hundred"/>
    <x v="180"/>
    <n v="7"/>
    <n v="0.22"/>
    <n v="381.53"/>
    <n v="123.35000000000002"/>
    <s v="profit"/>
  </r>
  <r>
    <s v="817eceb4-d135-48af-a2b8-3833eff2efc1"/>
    <d v="2023-12-13T00:00:00"/>
    <d v="2023-12-20T00:00:00"/>
    <x v="1"/>
    <x v="9"/>
    <s v="Q4"/>
    <n v="7"/>
    <x v="3"/>
    <x v="7"/>
    <x v="1"/>
    <x v="8"/>
    <s v="Binders interest"/>
    <x v="181"/>
    <n v="3"/>
    <n v="0.43"/>
    <n v="177.36"/>
    <n v="198.45"/>
    <s v="profit"/>
  </r>
  <r>
    <s v="b58663d8-2974-4183-b1d0-c8e97e39009e"/>
    <d v="2023-06-03T00:00:00"/>
    <d v="2023-06-08T00:00:00"/>
    <x v="1"/>
    <x v="3"/>
    <s v="Q3"/>
    <n v="5"/>
    <x v="2"/>
    <x v="6"/>
    <x v="1"/>
    <x v="8"/>
    <s v="Binders wear"/>
    <x v="182"/>
    <n v="7"/>
    <n v="0.28000000000000003"/>
    <n v="118.07"/>
    <n v="97.91"/>
    <s v="profit"/>
  </r>
  <r>
    <s v="1f3cd646-27bd-4aad-8449-c4576549ee2d"/>
    <d v="2024-10-31T00:00:00"/>
    <d v="2024-11-02T00:00:00"/>
    <x v="1"/>
    <x v="5"/>
    <s v="Q4"/>
    <n v="2"/>
    <x v="3"/>
    <x v="3"/>
    <x v="1"/>
    <x v="1"/>
    <s v="Paper simply"/>
    <x v="183"/>
    <n v="3"/>
    <n v="0.09"/>
    <n v="383.15"/>
    <n v="88.800000000000011"/>
    <s v="profit"/>
  </r>
  <r>
    <s v="85d78561-cea2-4a62-8479-498fe92ca85e"/>
    <d v="2024-12-01T00:00:00"/>
    <d v="2024-12-05T00:00:00"/>
    <x v="0"/>
    <x v="9"/>
    <s v="Q4"/>
    <n v="4"/>
    <x v="2"/>
    <x v="6"/>
    <x v="0"/>
    <x v="0"/>
    <s v="Tables wear"/>
    <x v="184"/>
    <n v="9"/>
    <n v="0.33"/>
    <n v="77.52"/>
    <n v="93.92"/>
    <s v="profit"/>
  </r>
  <r>
    <s v="587794fa-db3a-441c-a8ea-335d349ae273"/>
    <d v="2023-07-09T00:00:00"/>
    <d v="2023-07-10T00:00:00"/>
    <x v="0"/>
    <x v="7"/>
    <s v="Q3"/>
    <n v="1"/>
    <x v="0"/>
    <x v="4"/>
    <x v="0"/>
    <x v="0"/>
    <s v="Tables question"/>
    <x v="185"/>
    <n v="5"/>
    <n v="0.19"/>
    <n v="601.95000000000005"/>
    <n v="199.53999999999996"/>
    <s v="profit"/>
  </r>
  <r>
    <s v="8276f246-9d41-486e-b11e-2a3149209d9b"/>
    <d v="2023-10-06T00:00:00"/>
    <d v="2023-10-14T00:00:00"/>
    <x v="1"/>
    <x v="4"/>
    <s v="Q4"/>
    <n v="8"/>
    <x v="2"/>
    <x v="5"/>
    <x v="0"/>
    <x v="3"/>
    <s v="Bookcases chance"/>
    <x v="186"/>
    <n v="1"/>
    <n v="0.24"/>
    <n v="415.4"/>
    <n v="147.87"/>
    <s v="profit"/>
  </r>
  <r>
    <s v="988ae85e-6b95-403c-9e41-566710dcdc68"/>
    <d v="2024-08-19T00:00:00"/>
    <d v="2024-08-27T00:00:00"/>
    <x v="1"/>
    <x v="2"/>
    <s v="Q3"/>
    <n v="8"/>
    <x v="0"/>
    <x v="1"/>
    <x v="0"/>
    <x v="0"/>
    <s v="Tables magazine"/>
    <x v="187"/>
    <n v="10"/>
    <n v="0.33"/>
    <n v="112.98"/>
    <n v="73.11"/>
    <s v="profit"/>
  </r>
  <r>
    <s v="603eb6c0-7817-470b-a7b9-8e878ea1beb4"/>
    <d v="2023-08-07T00:00:00"/>
    <d v="2023-08-15T00:00:00"/>
    <x v="0"/>
    <x v="2"/>
    <s v="Q3"/>
    <n v="8"/>
    <x v="3"/>
    <x v="7"/>
    <x v="1"/>
    <x v="8"/>
    <s v="Binders health"/>
    <x v="188"/>
    <n v="6"/>
    <n v="0.43"/>
    <n v="233.64"/>
    <n v="236.65000000000003"/>
    <s v="profit"/>
  </r>
  <r>
    <s v="e3afc7d2-106a-4655-8546-7bda89e1b24a"/>
    <d v="2023-05-20T00:00:00"/>
    <d v="2023-05-27T00:00:00"/>
    <x v="1"/>
    <x v="8"/>
    <s v="Q2"/>
    <n v="7"/>
    <x v="0"/>
    <x v="1"/>
    <x v="0"/>
    <x v="3"/>
    <s v="Bookcases candidate"/>
    <x v="189"/>
    <n v="5"/>
    <n v="0.05"/>
    <n v="430.49"/>
    <n v="72.599999999999966"/>
    <s v="profit"/>
  </r>
  <r>
    <s v="e59bf2b2-3f38-4d23-b2f1-c69af48e4b06"/>
    <d v="2024-12-02T00:00:00"/>
    <d v="2024-12-08T00:00:00"/>
    <x v="1"/>
    <x v="9"/>
    <s v="Q4"/>
    <n v="6"/>
    <x v="2"/>
    <x v="3"/>
    <x v="2"/>
    <x v="5"/>
    <s v="Phones room"/>
    <x v="190"/>
    <n v="6"/>
    <n v="0.06"/>
    <n v="96.58"/>
    <n v="37.910000000000011"/>
    <s v="profit"/>
  </r>
  <r>
    <s v="30f53a8b-b995-44cf-8d81-4a31296fe8e0"/>
    <d v="2023-01-20T00:00:00"/>
    <d v="2023-01-28T00:00:00"/>
    <x v="0"/>
    <x v="0"/>
    <s v="Q1"/>
    <n v="8"/>
    <x v="3"/>
    <x v="3"/>
    <x v="0"/>
    <x v="0"/>
    <s v="Tables boy"/>
    <x v="191"/>
    <n v="1"/>
    <n v="0.37"/>
    <n v="187.76"/>
    <n v="143.28000000000003"/>
    <s v="profit"/>
  </r>
  <r>
    <s v="bc09aa0a-c10c-4dbf-9bea-1d4467caad39"/>
    <m/>
    <d v="2023-10-18T00:00:00"/>
    <x v="1"/>
    <x v="4"/>
    <s v="Q4"/>
    <n v="45217"/>
    <x v="4"/>
    <x v="0"/>
    <x v="2"/>
    <x v="5"/>
    <s v="Phones group"/>
    <x v="59"/>
    <n v="10"/>
    <n v="0.01"/>
    <n v="802.66"/>
    <e v="#VALUE!"/>
    <s v="profit"/>
  </r>
  <r>
    <s v="40fe5170-1709-458d-97f5-a90dfea5aafe"/>
    <d v="2024-02-02T00:00:00"/>
    <d v="2024-02-07T00:00:00"/>
    <x v="2"/>
    <x v="6"/>
    <s v="Q1"/>
    <n v="5"/>
    <x v="3"/>
    <x v="0"/>
    <x v="1"/>
    <x v="4"/>
    <s v="Pens floor"/>
    <x v="192"/>
    <n v="3"/>
    <n v="0.15"/>
    <n v="313.02999999999997"/>
    <n v="74.590000000000032"/>
    <s v="profit"/>
  </r>
  <r>
    <s v="807616ef-255a-4321-a0a8-53edc6dcec2a"/>
    <d v="2024-03-14T00:00:00"/>
    <d v="2024-03-20T00:00:00"/>
    <x v="0"/>
    <x v="10"/>
    <s v="Q2"/>
    <n v="6"/>
    <x v="0"/>
    <x v="3"/>
    <x v="0"/>
    <x v="3"/>
    <s v="Bookcases will"/>
    <x v="193"/>
    <n v="7"/>
    <n v="0.41"/>
    <n v="-6.26"/>
    <n v="54.089999999999996"/>
    <s v="loss"/>
  </r>
  <r>
    <s v="5ab2a381-6e8d-4e90-aaf3-b8eaa5fa76e9"/>
    <d v="2023-02-22T00:00:00"/>
    <d v="2023-03-01T00:00:00"/>
    <x v="0"/>
    <x v="10"/>
    <s v="Q2"/>
    <n v="7"/>
    <x v="1"/>
    <x v="6"/>
    <x v="2"/>
    <x v="2"/>
    <s v="Accessories on"/>
    <x v="194"/>
    <n v="5"/>
    <n v="0.24"/>
    <n v="358.45"/>
    <n v="159.66000000000003"/>
    <s v="profit"/>
  </r>
  <r>
    <s v="0daff512-8adc-4545-84f5-afa57d0cb894"/>
    <d v="2024-07-12T00:00:00"/>
    <d v="2024-07-20T00:00:00"/>
    <x v="1"/>
    <x v="7"/>
    <s v="Q3"/>
    <n v="8"/>
    <x v="3"/>
    <x v="4"/>
    <x v="0"/>
    <x v="3"/>
    <s v="Bookcases act"/>
    <x v="195"/>
    <n v="1"/>
    <n v="7.0000000000000007E-2"/>
    <n v="323.79000000000002"/>
    <n v="48.339999999999975"/>
    <s v="profit"/>
  </r>
  <r>
    <s v="aff30128-ad52-4790-9521-9f60b3e07e8d"/>
    <d v="2024-03-03T00:00:00"/>
    <d v="2024-03-05T00:00:00"/>
    <x v="0"/>
    <x v="10"/>
    <s v="Q2"/>
    <n v="2"/>
    <x v="0"/>
    <x v="7"/>
    <x v="2"/>
    <x v="2"/>
    <s v="Accessories way"/>
    <x v="196"/>
    <n v="10"/>
    <n v="0.45"/>
    <n v="221.51"/>
    <n v="248.95"/>
    <s v="profit"/>
  </r>
  <r>
    <s v="fb814b5a-0c12-41de-a06d-881fda37f076"/>
    <d v="2023-04-23T00:00:00"/>
    <d v="2023-04-24T00:00:00"/>
    <x v="0"/>
    <x v="1"/>
    <s v="Q2"/>
    <n v="1"/>
    <x v="1"/>
    <x v="5"/>
    <x v="2"/>
    <x v="2"/>
    <s v="Accessories key"/>
    <x v="197"/>
    <n v="10"/>
    <n v="0.26"/>
    <n v="449.92"/>
    <n v="204.17000000000002"/>
    <s v="profit"/>
  </r>
  <r>
    <s v="09b93504-fe7c-4311-b77d-fb784d36eb41"/>
    <d v="2024-10-24T00:00:00"/>
    <d v="2024-11-02T00:00:00"/>
    <x v="1"/>
    <x v="5"/>
    <s v="Q4"/>
    <n v="9"/>
    <x v="0"/>
    <x v="3"/>
    <x v="1"/>
    <x v="1"/>
    <s v="Paper animal"/>
    <x v="198"/>
    <n v="2"/>
    <n v="0.06"/>
    <n v="270.77999999999997"/>
    <n v="38.740000000000009"/>
    <s v="profit"/>
  </r>
  <r>
    <s v="1f4d54a1-371d-4e2a-b496-4055ba2534f2"/>
    <d v="2023-10-11T00:00:00"/>
    <d v="2023-10-11T00:00:00"/>
    <x v="0"/>
    <x v="4"/>
    <s v="Q4"/>
    <n v="0"/>
    <x v="0"/>
    <x v="3"/>
    <x v="0"/>
    <x v="7"/>
    <s v="Chairs situation"/>
    <x v="199"/>
    <n v="10"/>
    <n v="0.18"/>
    <n v="59.42"/>
    <n v="65.17"/>
    <s v="profit"/>
  </r>
  <r>
    <s v="31c5cfbb-653f-4fb3-b565-3d75e9ad0d07"/>
    <d v="2024-02-02T00:00:00"/>
    <d v="2024-02-10T00:00:00"/>
    <x v="1"/>
    <x v="6"/>
    <s v="Q1"/>
    <n v="8"/>
    <x v="2"/>
    <x v="5"/>
    <x v="0"/>
    <x v="7"/>
    <s v="Chairs themselves"/>
    <x v="200"/>
    <n v="2"/>
    <n v="0.01"/>
    <n v="945.53"/>
    <n v="41.110000000000014"/>
    <s v="profit"/>
  </r>
  <r>
    <s v="11fb9f48-31de-4ca7-b5c6-b4552bcdaecc"/>
    <d v="2024-08-28T00:00:00"/>
    <d v="2024-09-05T00:00:00"/>
    <x v="0"/>
    <x v="11"/>
    <s v="Q4"/>
    <n v="8"/>
    <x v="1"/>
    <x v="2"/>
    <x v="1"/>
    <x v="8"/>
    <s v="Binders it"/>
    <x v="201"/>
    <n v="4"/>
    <n v="0.26"/>
    <n v="589.73"/>
    <n v="248.85000000000002"/>
    <s v="profit"/>
  </r>
  <r>
    <s v="42e34404-43f0-451e-8c82-b8a24de997e5"/>
    <d v="2024-06-16T00:00:00"/>
    <d v="2024-06-16T00:00:00"/>
    <x v="0"/>
    <x v="3"/>
    <s v="Q3"/>
    <n v="0"/>
    <x v="2"/>
    <x v="3"/>
    <x v="1"/>
    <x v="1"/>
    <s v="Paper drug"/>
    <x v="202"/>
    <n v="4"/>
    <n v="0.42"/>
    <n v="264.76"/>
    <n v="227.04000000000002"/>
    <s v="profit"/>
  </r>
  <r>
    <s v="cb92e2a6-eb43-4839-a616-276a70c0f8be"/>
    <m/>
    <d v="2024-10-09T00:00:00"/>
    <x v="0"/>
    <x v="4"/>
    <s v="Q4"/>
    <n v="45574"/>
    <x v="4"/>
    <x v="2"/>
    <x v="0"/>
    <x v="3"/>
    <s v="Bookcases shoulder"/>
    <x v="59"/>
    <n v="1"/>
    <n v="0.12"/>
    <n v="673.49"/>
    <e v="#VALUE!"/>
    <s v="profit"/>
  </r>
  <r>
    <s v="077fbf18-9e38-414c-912b-95abb9d6e74a"/>
    <d v="2022-12-25T00:00:00"/>
    <d v="2022-12-31T00:00:00"/>
    <x v="2"/>
    <x v="9"/>
    <s v="Q4"/>
    <n v="6"/>
    <x v="0"/>
    <x v="5"/>
    <x v="2"/>
    <x v="6"/>
    <s v="Laptops each"/>
    <x v="203"/>
    <n v="10"/>
    <n v="0.46"/>
    <n v="165.83"/>
    <n v="228.99999999999997"/>
    <s v="profit"/>
  </r>
  <r>
    <s v="be9e3170-6b0d-4219-83a2-1b92b4276b47"/>
    <d v="2023-02-03T00:00:00"/>
    <d v="2023-02-12T00:00:00"/>
    <x v="3"/>
    <x v="6"/>
    <s v="Q1"/>
    <n v="9"/>
    <x v="0"/>
    <x v="6"/>
    <x v="1"/>
    <x v="1"/>
    <s v="Paper newspaper"/>
    <x v="204"/>
    <n v="9"/>
    <n v="7.0000000000000007E-2"/>
    <n v="74.89"/>
    <n v="42.519999999999996"/>
    <s v="profit"/>
  </r>
  <r>
    <s v="7266f095-bf1f-4897-a4ae-f258151ed7e2"/>
    <d v="2024-03-26T00:00:00"/>
    <d v="2024-03-30T00:00:00"/>
    <x v="1"/>
    <x v="10"/>
    <s v="Q2"/>
    <n v="4"/>
    <x v="1"/>
    <x v="4"/>
    <x v="1"/>
    <x v="4"/>
    <s v="Pens partner"/>
    <x v="205"/>
    <n v="1"/>
    <n v="0.39"/>
    <n v="8.56"/>
    <n v="34.96"/>
    <s v="profit"/>
  </r>
  <r>
    <s v="6e803f18-0c0b-4688-bda6-fd33cc478393"/>
    <d v="2022-12-16T00:00:00"/>
    <d v="2022-12-20T00:00:00"/>
    <x v="0"/>
    <x v="9"/>
    <s v="Q4"/>
    <n v="4"/>
    <x v="3"/>
    <x v="7"/>
    <x v="1"/>
    <x v="4"/>
    <s v="Pens simply"/>
    <x v="206"/>
    <n v="8"/>
    <n v="0.21"/>
    <n v="285.45"/>
    <n v="119.62"/>
    <s v="profit"/>
  </r>
  <r>
    <s v="973d7479-49bf-492b-af0e-8c6d979fb613"/>
    <d v="2024-01-14T00:00:00"/>
    <d v="2024-01-21T00:00:00"/>
    <x v="3"/>
    <x v="0"/>
    <s v="Q1"/>
    <n v="7"/>
    <x v="2"/>
    <x v="5"/>
    <x v="2"/>
    <x v="6"/>
    <s v="Laptops blue"/>
    <x v="207"/>
    <n v="4"/>
    <n v="0.28999999999999998"/>
    <n v="32.01"/>
    <n v="72.990000000000009"/>
    <s v="profit"/>
  </r>
  <r>
    <s v="10eec3ba-7705-4535-adc5-fa283ecda534"/>
    <d v="2024-09-29T00:00:00"/>
    <d v="2024-10-03T00:00:00"/>
    <x v="0"/>
    <x v="4"/>
    <s v="Q4"/>
    <n v="4"/>
    <x v="1"/>
    <x v="3"/>
    <x v="1"/>
    <x v="4"/>
    <s v="Pens stay"/>
    <x v="208"/>
    <n v="3"/>
    <n v="0.09"/>
    <n v="727.83"/>
    <n v="123.89999999999998"/>
    <s v="profit"/>
  </r>
  <r>
    <s v="9f87edc6-ca4f-4458-8abb-5cab4b3aa948"/>
    <d v="2023-07-28T00:00:00"/>
    <d v="2023-07-31T00:00:00"/>
    <x v="0"/>
    <x v="7"/>
    <s v="Q3"/>
    <n v="3"/>
    <x v="3"/>
    <x v="1"/>
    <x v="0"/>
    <x v="7"/>
    <s v="Chairs class"/>
    <x v="209"/>
    <n v="5"/>
    <n v="0.15"/>
    <n v="7.93"/>
    <n v="54.02"/>
    <s v="profit"/>
  </r>
  <r>
    <s v="da50ea9f-7dd4-4f23-b1a9-69e9d9dbdc6b"/>
    <d v="2024-11-29T00:00:00"/>
    <d v="2024-12-01T00:00:00"/>
    <x v="1"/>
    <x v="9"/>
    <s v="Q4"/>
    <n v="2"/>
    <x v="2"/>
    <x v="4"/>
    <x v="2"/>
    <x v="6"/>
    <s v="Laptops myself"/>
    <x v="210"/>
    <n v="7"/>
    <n v="0.32"/>
    <n v="625.04"/>
    <n v="328.30000000000007"/>
    <s v="profit"/>
  </r>
  <r>
    <s v="024a77cf-c2a7-492f-8249-613183121a9b"/>
    <d v="2024-06-01T00:00:00"/>
    <d v="2024-06-07T00:00:00"/>
    <x v="0"/>
    <x v="3"/>
    <s v="Q3"/>
    <n v="6"/>
    <x v="1"/>
    <x v="7"/>
    <x v="2"/>
    <x v="2"/>
    <s v="Accessories parent"/>
    <x v="211"/>
    <n v="6"/>
    <n v="0.41"/>
    <n v="408.03"/>
    <n v="338.65"/>
    <s v="profit"/>
  </r>
  <r>
    <s v="b916a047-637f-4867-8a9c-3b55a16f213b"/>
    <d v="2024-05-06T00:00:00"/>
    <d v="2024-05-12T00:00:00"/>
    <x v="0"/>
    <x v="8"/>
    <s v="Q2"/>
    <n v="6"/>
    <x v="1"/>
    <x v="0"/>
    <x v="2"/>
    <x v="2"/>
    <s v="Accessories officer"/>
    <x v="212"/>
    <n v="10"/>
    <n v="0.32"/>
    <n v="418.55"/>
    <n v="213.81"/>
    <s v="profit"/>
  </r>
  <r>
    <s v="cf51ba24-b8ed-4ea4-9ac1-f7999d4a4343"/>
    <d v="2024-07-16T00:00:00"/>
    <d v="2024-07-17T00:00:00"/>
    <x v="0"/>
    <x v="7"/>
    <s v="Q3"/>
    <n v="1"/>
    <x v="2"/>
    <x v="3"/>
    <x v="1"/>
    <x v="4"/>
    <s v="Pens force"/>
    <x v="213"/>
    <n v="1"/>
    <n v="0.45"/>
    <n v="441.32"/>
    <n v="413.95"/>
    <s v="profit"/>
  </r>
  <r>
    <s v="45a3e1cc-4427-4446-a058-67c78527d5d0"/>
    <d v="2023-11-30T00:00:00"/>
    <d v="2023-12-09T00:00:00"/>
    <x v="0"/>
    <x v="9"/>
    <s v="Q4"/>
    <n v="9"/>
    <x v="0"/>
    <x v="3"/>
    <x v="0"/>
    <x v="7"/>
    <s v="Chairs left"/>
    <x v="214"/>
    <n v="1"/>
    <n v="0.01"/>
    <n v="772.17"/>
    <n v="46.770000000000095"/>
    <s v="profit"/>
  </r>
  <r>
    <s v="f76c1a7e-87af-4556-8970-ac9c88a5fc8f"/>
    <d v="2024-10-03T00:00:00"/>
    <d v="2024-10-05T00:00:00"/>
    <x v="1"/>
    <x v="4"/>
    <s v="Q4"/>
    <n v="2"/>
    <x v="3"/>
    <x v="7"/>
    <x v="2"/>
    <x v="6"/>
    <s v="Laptops true"/>
    <x v="215"/>
    <n v="5"/>
    <n v="0.32"/>
    <n v="618.32000000000005"/>
    <n v="342.38"/>
    <s v="profit"/>
  </r>
  <r>
    <s v="6c082132-5a54-4eae-80a3-9210367d34d1"/>
    <d v="2023-08-13T00:00:00"/>
    <d v="2023-08-15T00:00:00"/>
    <x v="0"/>
    <x v="2"/>
    <s v="Q3"/>
    <n v="2"/>
    <x v="2"/>
    <x v="0"/>
    <x v="2"/>
    <x v="5"/>
    <s v="Phones boy"/>
    <x v="216"/>
    <n v="6"/>
    <n v="0.23"/>
    <n v="92.77"/>
    <n v="72.3"/>
    <s v="profit"/>
  </r>
  <r>
    <s v="e1ca824f-36f9-4774-b06e-2cb5b50f29c4"/>
    <d v="2023-10-07T00:00:00"/>
    <d v="2023-10-15T00:00:00"/>
    <x v="1"/>
    <x v="4"/>
    <s v="Q4"/>
    <n v="8"/>
    <x v="3"/>
    <x v="6"/>
    <x v="1"/>
    <x v="4"/>
    <s v="Pens speak"/>
    <x v="217"/>
    <n v="9"/>
    <n v="0.23"/>
    <n v="467.91"/>
    <n v="190.87999999999994"/>
    <s v="profit"/>
  </r>
  <r>
    <s v="d90aeead-5196-4ccf-a3fd-6fb133ec049d"/>
    <d v="2024-09-10T00:00:00"/>
    <d v="2024-09-13T00:00:00"/>
    <x v="1"/>
    <x v="11"/>
    <s v="Q4"/>
    <n v="3"/>
    <x v="3"/>
    <x v="6"/>
    <x v="0"/>
    <x v="0"/>
    <s v="Tables business"/>
    <x v="218"/>
    <n v="8"/>
    <n v="0.19"/>
    <n v="54.69"/>
    <n v="54.67"/>
    <s v="profit"/>
  </r>
  <r>
    <s v="58d77636-8454-4a88-afed-51adbb8523b8"/>
    <d v="2023-03-31T00:00:00"/>
    <d v="2023-04-01T00:00:00"/>
    <x v="0"/>
    <x v="1"/>
    <s v="Q2"/>
    <n v="1"/>
    <x v="3"/>
    <x v="0"/>
    <x v="1"/>
    <x v="4"/>
    <s v="Pens single"/>
    <x v="219"/>
    <n v="2"/>
    <n v="0.1"/>
    <n v="202.3"/>
    <n v="42.28"/>
    <s v="profit"/>
  </r>
  <r>
    <s v="5ecd13fd-b9b7-4ebc-bda7-88effe703aa9"/>
    <d v="2023-09-18T00:00:00"/>
    <d v="2023-09-26T00:00:00"/>
    <x v="1"/>
    <x v="11"/>
    <s v="Q4"/>
    <n v="8"/>
    <x v="2"/>
    <x v="0"/>
    <x v="2"/>
    <x v="6"/>
    <s v="Laptops poor"/>
    <x v="220"/>
    <n v="7"/>
    <n v="0.15"/>
    <n v="264.33"/>
    <n v="91.830000000000041"/>
    <s v="profit"/>
  </r>
  <r>
    <s v="eba023f0-182e-4f57-b734-8a4b63444aa7"/>
    <d v="2022-12-10T00:00:00"/>
    <d v="2022-12-15T00:00:00"/>
    <x v="1"/>
    <x v="9"/>
    <s v="Q4"/>
    <n v="5"/>
    <x v="0"/>
    <x v="4"/>
    <x v="1"/>
    <x v="8"/>
    <s v="Binders deal"/>
    <x v="221"/>
    <n v="9"/>
    <n v="0.03"/>
    <n v="30.36"/>
    <n v="12.420000000000002"/>
    <s v="profit"/>
  </r>
  <r>
    <s v="88b47e9a-7c9d-40af-9a02-ccf4550f7127"/>
    <d v="2023-07-01T00:00:00"/>
    <d v="2023-07-06T00:00:00"/>
    <x v="3"/>
    <x v="7"/>
    <s v="Q3"/>
    <n v="5"/>
    <x v="2"/>
    <x v="2"/>
    <x v="0"/>
    <x v="3"/>
    <s v="Bookcases oil"/>
    <x v="222"/>
    <n v="6"/>
    <n v="0.35"/>
    <n v="541.74"/>
    <n v="341.15"/>
    <s v="profit"/>
  </r>
  <r>
    <s v="5d39111f-eaef-4c42-8627-e7f3d078f088"/>
    <d v="2024-07-20T00:00:00"/>
    <d v="2024-07-28T00:00:00"/>
    <x v="1"/>
    <x v="7"/>
    <s v="Q3"/>
    <n v="8"/>
    <x v="2"/>
    <x v="7"/>
    <x v="2"/>
    <x v="6"/>
    <s v="Laptops already"/>
    <x v="223"/>
    <n v="4"/>
    <n v="0.2"/>
    <n v="349.19"/>
    <n v="135.57"/>
    <s v="profit"/>
  </r>
  <r>
    <s v="01829074-9bec-494e-bb2c-ad312c5545fc"/>
    <d v="2023-04-04T00:00:00"/>
    <d v="2023-04-12T00:00:00"/>
    <x v="0"/>
    <x v="1"/>
    <s v="Q2"/>
    <n v="8"/>
    <x v="3"/>
    <x v="1"/>
    <x v="0"/>
    <x v="7"/>
    <s v="Chairs travel"/>
    <x v="224"/>
    <n v="1"/>
    <n v="0.26"/>
    <n v="405.15"/>
    <n v="188.08000000000004"/>
    <s v="profit"/>
  </r>
  <r>
    <s v="0e27be59-70b0-450e-9d9e-6dd7845c9f34"/>
    <d v="2023-12-23T00:00:00"/>
    <d v="2024-01-01T00:00:00"/>
    <x v="1"/>
    <x v="0"/>
    <s v="Q1"/>
    <n v="9"/>
    <x v="2"/>
    <x v="0"/>
    <x v="0"/>
    <x v="0"/>
    <s v="Tables past"/>
    <x v="225"/>
    <n v="5"/>
    <n v="0.27"/>
    <n v="-25.55"/>
    <n v="46.09"/>
    <s v="loss"/>
  </r>
  <r>
    <s v="efc70f5f-0416-4b8c-be0d-20690a142106"/>
    <d v="2023-07-17T00:00:00"/>
    <d v="2023-07-25T00:00:00"/>
    <x v="1"/>
    <x v="7"/>
    <s v="Q3"/>
    <n v="8"/>
    <x v="0"/>
    <x v="7"/>
    <x v="1"/>
    <x v="1"/>
    <s v="Paper station"/>
    <x v="226"/>
    <n v="3"/>
    <n v="0.42"/>
    <n v="148.59"/>
    <n v="144.11999999999998"/>
    <s v="profit"/>
  </r>
  <r>
    <s v="b6204a7b-b578-405f-8617-00eb3c382a5b"/>
    <m/>
    <d v="2024-10-28T00:00:00"/>
    <x v="1"/>
    <x v="4"/>
    <s v="Q4"/>
    <n v="45593"/>
    <x v="4"/>
    <x v="1"/>
    <x v="1"/>
    <x v="1"/>
    <s v="Paper must"/>
    <x v="59"/>
    <n v="3"/>
    <n v="0.5"/>
    <n v="20.71"/>
    <e v="#VALUE!"/>
    <s v="profit"/>
  </r>
  <r>
    <s v="2093d19f-91f4-4296-8dc7-0f309cdb95fd"/>
    <d v="2023-01-30T00:00:00"/>
    <d v="2023-02-03T00:00:00"/>
    <x v="2"/>
    <x v="6"/>
    <s v="Q1"/>
    <n v="4"/>
    <x v="3"/>
    <x v="7"/>
    <x v="1"/>
    <x v="1"/>
    <s v="Paper evening"/>
    <x v="227"/>
    <n v="7"/>
    <n v="0.14000000000000001"/>
    <n v="484.05"/>
    <n v="102.27000000000004"/>
    <s v="profit"/>
  </r>
  <r>
    <s v="92213cca-99d3-4e48-858a-166594fdceb5"/>
    <d v="2024-07-27T00:00:00"/>
    <d v="2024-07-28T00:00:00"/>
    <x v="1"/>
    <x v="7"/>
    <s v="Q3"/>
    <n v="1"/>
    <x v="2"/>
    <x v="5"/>
    <x v="0"/>
    <x v="0"/>
    <s v="Tables political"/>
    <x v="228"/>
    <n v="1"/>
    <n v="0.45"/>
    <n v="154.55000000000001"/>
    <n v="208.87"/>
    <s v="profit"/>
  </r>
  <r>
    <s v="630a573b-2fc8-4443-a559-5c88d10c9b2f"/>
    <d v="2023-10-12T00:00:00"/>
    <d v="2023-10-13T00:00:00"/>
    <x v="0"/>
    <x v="4"/>
    <s v="Q4"/>
    <n v="1"/>
    <x v="1"/>
    <x v="5"/>
    <x v="1"/>
    <x v="1"/>
    <s v="Paper degree"/>
    <x v="229"/>
    <n v="3"/>
    <n v="0.01"/>
    <n v="495.33"/>
    <n v="35.880000000000052"/>
    <s v="profit"/>
  </r>
  <r>
    <s v="15ac3997-9f4d-41ac-939d-25d950971e12"/>
    <d v="2023-04-08T00:00:00"/>
    <d v="2023-04-11T00:00:00"/>
    <x v="1"/>
    <x v="1"/>
    <s v="Q2"/>
    <n v="3"/>
    <x v="0"/>
    <x v="5"/>
    <x v="0"/>
    <x v="3"/>
    <s v="Bookcases together"/>
    <x v="230"/>
    <n v="6"/>
    <n v="0.28999999999999998"/>
    <n v="465.56"/>
    <n v="240.86999999999995"/>
    <s v="profit"/>
  </r>
  <r>
    <s v="a17addae-ad87-4d05-b6c8-4891bbde74e9"/>
    <d v="2022-12-25T00:00:00"/>
    <d v="2023-01-03T00:00:00"/>
    <x v="1"/>
    <x v="0"/>
    <s v="Q1"/>
    <n v="9"/>
    <x v="0"/>
    <x v="7"/>
    <x v="2"/>
    <x v="2"/>
    <s v="Accessories back"/>
    <x v="231"/>
    <n v="4"/>
    <n v="0.18"/>
    <n v="239.04"/>
    <n v="110.22999999999999"/>
    <s v="profit"/>
  </r>
  <r>
    <s v="6e4bc9c9-3597-454a-b085-78fcf267ab39"/>
    <d v="2024-01-13T00:00:00"/>
    <d v="2024-01-21T00:00:00"/>
    <x v="3"/>
    <x v="0"/>
    <s v="Q1"/>
    <n v="8"/>
    <x v="0"/>
    <x v="4"/>
    <x v="1"/>
    <x v="1"/>
    <s v="Paper pressure"/>
    <x v="232"/>
    <n v="6"/>
    <n v="0.43"/>
    <n v="101.83"/>
    <n v="117.10000000000001"/>
    <s v="profit"/>
  </r>
  <r>
    <s v="8bcae289-6a3d-4ec2-afc7-9f64784ac375"/>
    <d v="2024-03-28T00:00:00"/>
    <d v="2024-03-29T00:00:00"/>
    <x v="0"/>
    <x v="10"/>
    <s v="Q2"/>
    <n v="1"/>
    <x v="3"/>
    <x v="7"/>
    <x v="2"/>
    <x v="2"/>
    <s v="Accessories goal"/>
    <x v="233"/>
    <n v="5"/>
    <n v="0.15"/>
    <n v="289.22000000000003"/>
    <n v="64.339999999999975"/>
    <s v="profit"/>
  </r>
  <r>
    <s v="6bd911e9-eca4-4fa9-9075-29ca783fe1af"/>
    <d v="2024-09-05T00:00:00"/>
    <d v="2024-09-10T00:00:00"/>
    <x v="0"/>
    <x v="11"/>
    <s v="Q4"/>
    <n v="5"/>
    <x v="3"/>
    <x v="2"/>
    <x v="2"/>
    <x v="6"/>
    <s v="Laptops foreign"/>
    <x v="234"/>
    <n v="5"/>
    <n v="0.12"/>
    <n v="759.63"/>
    <n v="157.23000000000002"/>
    <s v="profit"/>
  </r>
  <r>
    <s v="c62e055c-b8d3-457d-af78-a3db18e43448"/>
    <d v="2023-05-06T00:00:00"/>
    <d v="2023-05-07T00:00:00"/>
    <x v="0"/>
    <x v="8"/>
    <s v="Q2"/>
    <n v="1"/>
    <x v="2"/>
    <x v="7"/>
    <x v="0"/>
    <x v="0"/>
    <s v="Tables country"/>
    <x v="235"/>
    <n v="3"/>
    <n v="0.16"/>
    <n v="154.36000000000001"/>
    <n v="72.639999999999986"/>
    <s v="profit"/>
  </r>
  <r>
    <s v="0ab857af-f56f-4859-9fd8-77077492be42"/>
    <d v="2024-02-28T00:00:00"/>
    <d v="2024-03-07T00:00:00"/>
    <x v="1"/>
    <x v="10"/>
    <s v="Q2"/>
    <n v="8"/>
    <x v="3"/>
    <x v="1"/>
    <x v="2"/>
    <x v="6"/>
    <s v="Laptops executive"/>
    <x v="236"/>
    <n v="5"/>
    <n v="0.19"/>
    <n v="668.9"/>
    <n v="215.17000000000007"/>
    <s v="profit"/>
  </r>
  <r>
    <s v="b2ec3d31-a3da-4d97-88e6-104f1acb28e1"/>
    <d v="2023-04-25T00:00:00"/>
    <d v="2023-04-30T00:00:00"/>
    <x v="0"/>
    <x v="1"/>
    <s v="Q2"/>
    <n v="5"/>
    <x v="3"/>
    <x v="7"/>
    <x v="1"/>
    <x v="8"/>
    <s v="Binders drive"/>
    <x v="237"/>
    <n v="3"/>
    <n v="0.4"/>
    <n v="387.6"/>
    <n v="288.12"/>
    <s v="profit"/>
  </r>
  <r>
    <s v="c1952cdd-325f-44ef-b65d-a608e8701170"/>
    <d v="2023-11-23T00:00:00"/>
    <d v="2023-11-23T00:00:00"/>
    <x v="1"/>
    <x v="5"/>
    <s v="Q4"/>
    <n v="0"/>
    <x v="0"/>
    <x v="1"/>
    <x v="1"/>
    <x v="4"/>
    <s v="Pens month"/>
    <x v="238"/>
    <n v="10"/>
    <n v="0.47"/>
    <n v="372.84"/>
    <n v="393.38000000000005"/>
    <s v="profit"/>
  </r>
  <r>
    <s v="ab1ff418-b44e-4a85-8655-553de9c4e533"/>
    <d v="2024-02-07T00:00:00"/>
    <d v="2024-02-09T00:00:00"/>
    <x v="1"/>
    <x v="6"/>
    <s v="Q1"/>
    <n v="2"/>
    <x v="0"/>
    <x v="0"/>
    <x v="1"/>
    <x v="8"/>
    <s v="Binders mouth"/>
    <x v="239"/>
    <n v="3"/>
    <n v="0.08"/>
    <n v="191.74"/>
    <n v="68.519999999999982"/>
    <s v="profit"/>
  </r>
  <r>
    <s v="475123a7-07b8-4d10-ab65-794504dbaab0"/>
    <d v="2024-03-13T00:00:00"/>
    <d v="2024-03-13T00:00:00"/>
    <x v="0"/>
    <x v="10"/>
    <s v="Q2"/>
    <n v="0"/>
    <x v="1"/>
    <x v="5"/>
    <x v="1"/>
    <x v="8"/>
    <s v="Binders long"/>
    <x v="240"/>
    <n v="1"/>
    <n v="0.18"/>
    <n v="33.94"/>
    <n v="46.33"/>
    <s v="profit"/>
  </r>
  <r>
    <s v="cb115682-f596-4834-84a2-3a72417ab94c"/>
    <d v="2024-04-30T00:00:00"/>
    <d v="2024-05-09T00:00:00"/>
    <x v="0"/>
    <x v="8"/>
    <s v="Q2"/>
    <n v="9"/>
    <x v="2"/>
    <x v="7"/>
    <x v="1"/>
    <x v="4"/>
    <s v="Pens indeed"/>
    <x v="241"/>
    <n v="4"/>
    <n v="0.45"/>
    <n v="198.79"/>
    <n v="221.21"/>
    <s v="profit"/>
  </r>
  <r>
    <s v="d579872e-81c5-4d22-af02-a54b5931b22e"/>
    <d v="2023-12-04T00:00:00"/>
    <d v="2023-12-08T00:00:00"/>
    <x v="0"/>
    <x v="9"/>
    <s v="Q4"/>
    <n v="4"/>
    <x v="1"/>
    <x v="6"/>
    <x v="1"/>
    <x v="1"/>
    <s v="Paper response"/>
    <x v="242"/>
    <n v="1"/>
    <n v="0.28999999999999998"/>
    <n v="418.9"/>
    <n v="499581.1"/>
    <s v="profit"/>
  </r>
  <r>
    <s v="14d31f0a-dbd5-424b-aedb-60562256e0c6"/>
    <d v="2022-12-28T00:00:00"/>
    <d v="2022-12-28T00:00:00"/>
    <x v="1"/>
    <x v="9"/>
    <s v="Q4"/>
    <n v="0"/>
    <x v="1"/>
    <x v="3"/>
    <x v="2"/>
    <x v="6"/>
    <s v="Laptops single"/>
    <x v="243"/>
    <n v="10"/>
    <n v="0.34"/>
    <n v="431.92"/>
    <n v="276.24999999999994"/>
    <s v="profit"/>
  </r>
  <r>
    <s v="6572f792-5a23-4ec1-b480-b0746b952bbd"/>
    <d v="2023-11-25T00:00:00"/>
    <d v="2023-12-02T00:00:00"/>
    <x v="3"/>
    <x v="9"/>
    <s v="Q4"/>
    <n v="7"/>
    <x v="1"/>
    <x v="7"/>
    <x v="0"/>
    <x v="3"/>
    <s v="Bookcases strong"/>
    <x v="244"/>
    <n v="6"/>
    <n v="0.05"/>
    <n v="189.06"/>
    <n v="53.47"/>
    <s v="profit"/>
  </r>
  <r>
    <s v="312bb93e-44f3-48cd-a134-71471741754f"/>
    <d v="2023-04-23T00:00:00"/>
    <d v="2023-04-27T00:00:00"/>
    <x v="1"/>
    <x v="1"/>
    <s v="Q2"/>
    <n v="4"/>
    <x v="3"/>
    <x v="4"/>
    <x v="0"/>
    <x v="0"/>
    <s v="Tables me"/>
    <x v="245"/>
    <n v="3"/>
    <n v="0.13"/>
    <n v="663.48"/>
    <n v="132.54999999999995"/>
    <s v="profit"/>
  </r>
  <r>
    <s v="69bf8aff-c674-45a8-ab7b-edc091caf221"/>
    <d v="2023-07-16T00:00:00"/>
    <d v="2023-07-17T00:00:00"/>
    <x v="1"/>
    <x v="7"/>
    <s v="Q3"/>
    <n v="1"/>
    <x v="2"/>
    <x v="2"/>
    <x v="1"/>
    <x v="1"/>
    <s v="Paper kitchen"/>
    <x v="246"/>
    <n v="6"/>
    <n v="0.35"/>
    <n v="353.8"/>
    <n v="266.55"/>
    <s v="profit"/>
  </r>
  <r>
    <s v="0c10964e-acca-439e-aa9d-29ef393e5c21"/>
    <d v="2023-03-08T00:00:00"/>
    <d v="2023-03-10T00:00:00"/>
    <x v="1"/>
    <x v="10"/>
    <s v="Q2"/>
    <n v="2"/>
    <x v="3"/>
    <x v="2"/>
    <x v="1"/>
    <x v="8"/>
    <s v="Binders church"/>
    <x v="247"/>
    <n v="8"/>
    <n v="0.03"/>
    <n v="768.2"/>
    <n v="73.649999999999977"/>
    <s v="profit"/>
  </r>
  <r>
    <s v="cbf0d0a7-2071-4a3a-8f2f-28c9ffd84e5e"/>
    <d v="2023-01-23T00:00:00"/>
    <d v="2023-01-28T00:00:00"/>
    <x v="1"/>
    <x v="0"/>
    <s v="Q1"/>
    <n v="5"/>
    <x v="2"/>
    <x v="3"/>
    <x v="1"/>
    <x v="4"/>
    <s v="Pens actually"/>
    <x v="248"/>
    <n v="2"/>
    <n v="0.16"/>
    <n v="744.61"/>
    <n v="170.48000000000002"/>
    <s v="profit"/>
  </r>
  <r>
    <s v="e17db836-144b-4a5e-b291-7b6f9021ad08"/>
    <d v="2024-10-02T00:00:00"/>
    <d v="2024-10-05T00:00:00"/>
    <x v="1"/>
    <x v="4"/>
    <s v="Q4"/>
    <n v="3"/>
    <x v="3"/>
    <x v="7"/>
    <x v="2"/>
    <x v="2"/>
    <s v="Accessories try"/>
    <x v="249"/>
    <n v="1"/>
    <n v="0.22"/>
    <n v="682.59"/>
    <n v="209.68999999999994"/>
    <s v="profit"/>
  </r>
  <r>
    <s v="e87698df-9b76-44ca-afe4-554753c868a4"/>
    <d v="2024-07-17T00:00:00"/>
    <d v="2024-07-20T00:00:00"/>
    <x v="0"/>
    <x v="7"/>
    <s v="Q3"/>
    <n v="3"/>
    <x v="0"/>
    <x v="4"/>
    <x v="2"/>
    <x v="6"/>
    <s v="Laptops carry"/>
    <x v="250"/>
    <n v="1"/>
    <n v="0.38"/>
    <n v="555.86"/>
    <n v="388.80999999999995"/>
    <s v="profit"/>
  </r>
  <r>
    <s v="525fa097-2ad9-45fd-91db-d7f877d2a5eb"/>
    <d v="2023-12-13T00:00:00"/>
    <d v="2023-12-18T00:00:00"/>
    <x v="0"/>
    <x v="9"/>
    <s v="Q4"/>
    <n v="5"/>
    <x v="0"/>
    <x v="4"/>
    <x v="2"/>
    <x v="6"/>
    <s v="Laptops become"/>
    <x v="251"/>
    <n v="4"/>
    <n v="0.17"/>
    <n v="157.9"/>
    <n v="82.35"/>
    <s v="profit"/>
  </r>
  <r>
    <s v="f7798866-bfe9-4d36-abff-c3436a15bbda"/>
    <d v="2023-02-20T00:00:00"/>
    <d v="2023-02-27T00:00:00"/>
    <x v="1"/>
    <x v="6"/>
    <s v="Q1"/>
    <n v="7"/>
    <x v="2"/>
    <x v="2"/>
    <x v="1"/>
    <x v="4"/>
    <s v="Pens market"/>
    <x v="252"/>
    <n v="2"/>
    <n v="0.01"/>
    <n v="652.37"/>
    <n v="49.17999999999995"/>
    <s v="profit"/>
  </r>
  <r>
    <s v="825bde6a-c45a-41da-9d76-22dbee57b8b7"/>
    <d v="2023-07-31T00:00:00"/>
    <d v="2023-08-04T00:00:00"/>
    <x v="1"/>
    <x v="2"/>
    <s v="Q3"/>
    <n v="4"/>
    <x v="1"/>
    <x v="3"/>
    <x v="1"/>
    <x v="8"/>
    <s v="Binders rise"/>
    <x v="253"/>
    <n v="9"/>
    <n v="0.32"/>
    <n v="370.55"/>
    <n v="-270.55"/>
    <s v="profit"/>
  </r>
  <r>
    <s v="2515621f-108b-411b-801b-8d7f26024fd7"/>
    <d v="2023-04-23T00:00:00"/>
    <d v="2023-04-25T00:00:00"/>
    <x v="1"/>
    <x v="1"/>
    <s v="Q2"/>
    <n v="2"/>
    <x v="1"/>
    <x v="6"/>
    <x v="1"/>
    <x v="8"/>
    <s v="Binders record"/>
    <x v="254"/>
    <n v="4"/>
    <n v="0.2"/>
    <n v="149.91"/>
    <n v="90.12"/>
    <s v="profit"/>
  </r>
  <r>
    <s v="05b6db2c-7684-47cf-afe7-077b598a2f57"/>
    <d v="2023-03-01T00:00:00"/>
    <d v="2023-03-01T00:00:00"/>
    <x v="1"/>
    <x v="10"/>
    <s v="Q2"/>
    <n v="0"/>
    <x v="0"/>
    <x v="6"/>
    <x v="2"/>
    <x v="5"/>
    <s v="Phones him"/>
    <x v="255"/>
    <n v="5"/>
    <n v="0.13"/>
    <n v="77.22"/>
    <n v="66.830000000000013"/>
    <s v="profit"/>
  </r>
  <r>
    <s v="ee313272-817b-4952-bc61-5d1252844608"/>
    <d v="2024-07-19T00:00:00"/>
    <d v="2024-07-27T00:00:00"/>
    <x v="1"/>
    <x v="7"/>
    <s v="Q3"/>
    <n v="8"/>
    <x v="1"/>
    <x v="2"/>
    <x v="0"/>
    <x v="7"/>
    <s v="Chairs base"/>
    <x v="256"/>
    <n v="1"/>
    <n v="0.31"/>
    <n v="307.83999999999997"/>
    <n v="190.03000000000003"/>
    <s v="profit"/>
  </r>
  <r>
    <s v="5db2beac-3ae5-4abe-a14f-3068cecb8abc"/>
    <d v="2024-08-24T00:00:00"/>
    <d v="2024-08-28T00:00:00"/>
    <x v="0"/>
    <x v="2"/>
    <s v="Q3"/>
    <n v="4"/>
    <x v="2"/>
    <x v="6"/>
    <x v="1"/>
    <x v="4"/>
    <s v="Pens tough"/>
    <x v="257"/>
    <n v="6"/>
    <n v="0.24"/>
    <n v="109.72"/>
    <n v="77.09"/>
    <s v="profit"/>
  </r>
  <r>
    <s v="21eaf71a-4e10-4c45-9969-7941fa15621e"/>
    <d v="2024-06-06T00:00:00"/>
    <d v="2024-06-07T00:00:00"/>
    <x v="0"/>
    <x v="3"/>
    <s v="Q3"/>
    <n v="1"/>
    <x v="0"/>
    <x v="3"/>
    <x v="2"/>
    <x v="2"/>
    <s v="Accessories pressure"/>
    <x v="258"/>
    <n v="6"/>
    <n v="0.42"/>
    <n v="274.41000000000003"/>
    <n v="234.77999999999997"/>
    <s v="profit"/>
  </r>
  <r>
    <s v="f83920d0-baab-4858-9a27-d0f28bb12933"/>
    <d v="2024-08-25T00:00:00"/>
    <d v="2024-08-31T00:00:00"/>
    <x v="0"/>
    <x v="2"/>
    <s v="Q3"/>
    <n v="6"/>
    <x v="3"/>
    <x v="0"/>
    <x v="2"/>
    <x v="5"/>
    <s v="Phones material"/>
    <x v="259"/>
    <n v="7"/>
    <n v="0.11"/>
    <n v="425.49"/>
    <n v="67.289999999999964"/>
    <s v="profit"/>
  </r>
  <r>
    <s v="67a7f339-9736-4c04-a1b1-acec8a97f470"/>
    <d v="2023-09-27T00:00:00"/>
    <d v="2023-09-27T00:00:00"/>
    <x v="0"/>
    <x v="11"/>
    <s v="Q4"/>
    <n v="0"/>
    <x v="1"/>
    <x v="2"/>
    <x v="1"/>
    <x v="1"/>
    <s v="Paper alone"/>
    <x v="260"/>
    <n v="9"/>
    <n v="0.4"/>
    <n v="523.91999999999996"/>
    <n v="367.05000000000007"/>
    <s v="profit"/>
  </r>
  <r>
    <s v="3329bf8c-4f78-41dd-9a38-2b3c7e72915a"/>
    <d v="2024-08-17T00:00:00"/>
    <d v="2024-08-22T00:00:00"/>
    <x v="1"/>
    <x v="2"/>
    <s v="Q3"/>
    <n v="5"/>
    <x v="2"/>
    <x v="0"/>
    <x v="1"/>
    <x v="4"/>
    <s v="Pens ago"/>
    <x v="261"/>
    <n v="7"/>
    <n v="0.33"/>
    <n v="330.42"/>
    <n v="191.96999999999997"/>
    <s v="profit"/>
  </r>
  <r>
    <s v="bad6ad77-46c1-4eb3-aa00-a23554c4d0ff"/>
    <d v="2023-01-04T00:00:00"/>
    <d v="2023-01-07T00:00:00"/>
    <x v="0"/>
    <x v="0"/>
    <s v="Q1"/>
    <n v="3"/>
    <x v="2"/>
    <x v="6"/>
    <x v="1"/>
    <x v="4"/>
    <s v="Pens call"/>
    <x v="262"/>
    <n v="1"/>
    <n v="0.16"/>
    <n v="422.09"/>
    <n v="104.60000000000008"/>
    <s v="profit"/>
  </r>
  <r>
    <s v="d08b0888-19ee-4b5a-84d1-22b78e7369eb"/>
    <d v="2024-09-10T00:00:00"/>
    <d v="2024-09-12T00:00:00"/>
    <x v="1"/>
    <x v="11"/>
    <s v="Q4"/>
    <n v="2"/>
    <x v="0"/>
    <x v="0"/>
    <x v="0"/>
    <x v="3"/>
    <s v="Bookcases affect"/>
    <x v="263"/>
    <n v="7"/>
    <n v="0.42"/>
    <n v="22.38"/>
    <n v="95.14"/>
    <s v="profit"/>
  </r>
  <r>
    <s v="9357b2df-cd4a-4906-934b-4dcb729e9c87"/>
    <d v="2024-03-10T00:00:00"/>
    <d v="2024-03-12T00:00:00"/>
    <x v="0"/>
    <x v="10"/>
    <s v="Q2"/>
    <n v="2"/>
    <x v="2"/>
    <x v="6"/>
    <x v="0"/>
    <x v="7"/>
    <s v="Chairs nor"/>
    <x v="264"/>
    <n v="9"/>
    <n v="0.02"/>
    <n v="44.64"/>
    <n v="42.379999999999995"/>
    <s v="profit"/>
  </r>
  <r>
    <s v="84a1f64a-83b4-4b45-9c36-97a7d3c417a0"/>
    <d v="2024-01-12T00:00:00"/>
    <d v="2024-01-14T00:00:00"/>
    <x v="0"/>
    <x v="0"/>
    <s v="Q1"/>
    <n v="2"/>
    <x v="1"/>
    <x v="4"/>
    <x v="1"/>
    <x v="8"/>
    <s v="Binders per"/>
    <x v="265"/>
    <n v="7"/>
    <n v="0.16"/>
    <n v="91.67"/>
    <n v="72.02"/>
    <s v="profit"/>
  </r>
  <r>
    <s v="e3d153b5-e64c-4895-bc94-c74d5ccc92de"/>
    <d v="2024-07-13T00:00:00"/>
    <d v="2024-07-13T00:00:00"/>
    <x v="0"/>
    <x v="7"/>
    <s v="Q3"/>
    <n v="0"/>
    <x v="0"/>
    <x v="2"/>
    <x v="1"/>
    <x v="4"/>
    <s v="Pens exist"/>
    <x v="266"/>
    <n v="9"/>
    <n v="0"/>
    <n v="375.53"/>
    <n v="46.930000000000007"/>
    <s v="profit"/>
  </r>
  <r>
    <s v="6c5e6e2f-3032-4e17-96ef-f84633e349d9"/>
    <d v="2024-07-12T00:00:00"/>
    <d v="2024-07-12T00:00:00"/>
    <x v="0"/>
    <x v="7"/>
    <s v="Q3"/>
    <n v="0"/>
    <x v="0"/>
    <x v="0"/>
    <x v="0"/>
    <x v="0"/>
    <s v="Tables ago"/>
    <x v="267"/>
    <n v="3"/>
    <n v="0.4"/>
    <n v="1.72"/>
    <n v="64.77"/>
    <s v="profit"/>
  </r>
  <r>
    <s v="8589018a-25f8-483c-8465-208267d0d908"/>
    <m/>
    <d v="2024-10-26T00:00:00"/>
    <x v="0"/>
    <x v="4"/>
    <s v="Q4"/>
    <n v="45591"/>
    <x v="4"/>
    <x v="1"/>
    <x v="1"/>
    <x v="8"/>
    <s v="Binders bag"/>
    <x v="59"/>
    <n v="1"/>
    <n v="0.45"/>
    <n v="470.24"/>
    <e v="#VALUE!"/>
    <s v="profit"/>
  </r>
  <r>
    <s v="01ba0370-43d5-422a-851d-e021a757fce7"/>
    <d v="2023-05-23T00:00:00"/>
    <d v="2023-05-24T00:00:00"/>
    <x v="2"/>
    <x v="8"/>
    <s v="Q2"/>
    <n v="1"/>
    <x v="1"/>
    <x v="7"/>
    <x v="1"/>
    <x v="8"/>
    <s v="Binders start"/>
    <x v="268"/>
    <n v="7"/>
    <n v="0.38"/>
    <n v="308.66000000000003"/>
    <n v="266.34999999999997"/>
    <s v="profit"/>
  </r>
  <r>
    <s v="404d6731-e626-482c-a616-5d658f0aacab"/>
    <d v="2023-01-05T00:00:00"/>
    <d v="2023-01-06T00:00:00"/>
    <x v="1"/>
    <x v="0"/>
    <s v="Q1"/>
    <n v="1"/>
    <x v="2"/>
    <x v="5"/>
    <x v="1"/>
    <x v="8"/>
    <s v="Binders turn"/>
    <x v="269"/>
    <n v="2"/>
    <n v="0.14000000000000001"/>
    <n v="496.16"/>
    <n v="95.079999999999984"/>
    <s v="profit"/>
  </r>
  <r>
    <s v="992175fa-a6fd-4b7d-aca2-645d48a4b69f"/>
    <m/>
    <d v="2023-12-13T00:00:00"/>
    <x v="1"/>
    <x v="9"/>
    <s v="Q4"/>
    <n v="45273"/>
    <x v="4"/>
    <x v="3"/>
    <x v="0"/>
    <x v="3"/>
    <s v="Bookcases read"/>
    <x v="59"/>
    <n v="3"/>
    <n v="0.38"/>
    <n v="123.17"/>
    <e v="#VALUE!"/>
    <s v="profit"/>
  </r>
  <r>
    <s v="1f16c585-5f10-4dd4-9c20-6105e3a97b6d"/>
    <d v="2023-01-10T00:00:00"/>
    <d v="2023-01-11T00:00:00"/>
    <x v="2"/>
    <x v="0"/>
    <s v="Q1"/>
    <n v="1"/>
    <x v="2"/>
    <x v="1"/>
    <x v="1"/>
    <x v="1"/>
    <s v="Paper politics"/>
    <x v="270"/>
    <n v="6"/>
    <n v="0.21"/>
    <n v="278.20999999999998"/>
    <n v="116.87"/>
    <s v="profit"/>
  </r>
  <r>
    <s v="4f0953bd-3967-487d-8bcb-b206803ce21a"/>
    <d v="2023-02-02T00:00:00"/>
    <d v="2023-02-02T00:00:00"/>
    <x v="1"/>
    <x v="6"/>
    <s v="Q1"/>
    <n v="0"/>
    <x v="3"/>
    <x v="0"/>
    <x v="0"/>
    <x v="7"/>
    <s v="Chairs save"/>
    <x v="271"/>
    <n v="1"/>
    <n v="0.12"/>
    <n v="780.88"/>
    <n v="133.61000000000001"/>
    <s v="profit"/>
  </r>
  <r>
    <s v="c23754de-6f2e-4153-9aa1-3680d2caff3a"/>
    <d v="2024-05-01T00:00:00"/>
    <d v="2024-05-05T00:00:00"/>
    <x v="1"/>
    <x v="8"/>
    <s v="Q2"/>
    <n v="4"/>
    <x v="1"/>
    <x v="6"/>
    <x v="0"/>
    <x v="3"/>
    <s v="Bookcases modern"/>
    <x v="272"/>
    <n v="8"/>
    <n v="0.11"/>
    <n v="244.45"/>
    <n v="77.210000000000036"/>
    <s v="profit"/>
  </r>
  <r>
    <s v="43edcae2-e1db-4c05-9e4c-d5e462f99e84"/>
    <d v="2023-08-27T00:00:00"/>
    <d v="2023-08-27T00:00:00"/>
    <x v="0"/>
    <x v="2"/>
    <s v="Q3"/>
    <n v="0"/>
    <x v="2"/>
    <x v="1"/>
    <x v="2"/>
    <x v="6"/>
    <s v="Laptops movement"/>
    <x v="273"/>
    <n v="6"/>
    <n v="7.0000000000000007E-2"/>
    <n v="641.85"/>
    <n v="82.439999999999941"/>
    <s v="profit"/>
  </r>
  <r>
    <s v="b03e6706-21c1-4a59-abc4-b558f07910f9"/>
    <d v="2023-05-11T00:00:00"/>
    <d v="2023-05-14T00:00:00"/>
    <x v="1"/>
    <x v="8"/>
    <s v="Q2"/>
    <n v="3"/>
    <x v="1"/>
    <x v="1"/>
    <x v="2"/>
    <x v="2"/>
    <s v="Accessories push"/>
    <x v="274"/>
    <n v="4"/>
    <n v="0.13"/>
    <n v="573.59"/>
    <n v="124.27999999999997"/>
    <s v="profit"/>
  </r>
  <r>
    <s v="5c3f77a7-c584-42b6-949b-01389082065f"/>
    <d v="2023-08-12T00:00:00"/>
    <d v="2023-08-17T00:00:00"/>
    <x v="1"/>
    <x v="2"/>
    <s v="Q3"/>
    <n v="5"/>
    <x v="1"/>
    <x v="2"/>
    <x v="0"/>
    <x v="7"/>
    <s v="Chairs important"/>
    <x v="275"/>
    <n v="8"/>
    <n v="0.46"/>
    <n v="316.7"/>
    <n v="318.38000000000005"/>
    <s v="profit"/>
  </r>
  <r>
    <s v="31b87a8c-9c2a-4cc3-bcbe-fcbc38b49f5f"/>
    <d v="2024-06-08T00:00:00"/>
    <d v="2024-06-12T00:00:00"/>
    <x v="1"/>
    <x v="3"/>
    <s v="Q3"/>
    <n v="4"/>
    <x v="3"/>
    <x v="6"/>
    <x v="1"/>
    <x v="8"/>
    <s v="Binders read"/>
    <x v="276"/>
    <n v="4"/>
    <n v="0.25"/>
    <n v="111.21"/>
    <n v="55.220000000000013"/>
    <s v="profit"/>
  </r>
  <r>
    <s v="b36fa2fe-9ac5-41ea-beee-9f135debac35"/>
    <d v="2024-02-19T00:00:00"/>
    <d v="2024-02-28T00:00:00"/>
    <x v="0"/>
    <x v="6"/>
    <s v="Q1"/>
    <n v="9"/>
    <x v="2"/>
    <x v="3"/>
    <x v="1"/>
    <x v="4"/>
    <s v="Pens live"/>
    <x v="277"/>
    <n v="9"/>
    <n v="0.41"/>
    <n v="506.77"/>
    <n v="401.22"/>
    <s v="profit"/>
  </r>
  <r>
    <s v="e3e4799d-527f-4b9e-ab12-4c6373ddfef1"/>
    <d v="2024-04-12T00:00:00"/>
    <d v="2024-04-12T00:00:00"/>
    <x v="0"/>
    <x v="1"/>
    <s v="Q2"/>
    <n v="0"/>
    <x v="0"/>
    <x v="6"/>
    <x v="0"/>
    <x v="0"/>
    <s v="Tables high"/>
    <x v="278"/>
    <n v="8"/>
    <n v="0.21"/>
    <n v="222.87"/>
    <n v="84.389999999999986"/>
    <s v="profit"/>
  </r>
  <r>
    <s v="770b2b91-3039-4b0e-a1c5-207344ba6efa"/>
    <d v="2023-02-13T00:00:00"/>
    <d v="2023-02-22T00:00:00"/>
    <x v="0"/>
    <x v="6"/>
    <s v="Q1"/>
    <n v="9"/>
    <x v="2"/>
    <x v="3"/>
    <x v="1"/>
    <x v="8"/>
    <s v="Binders modern"/>
    <x v="279"/>
    <n v="9"/>
    <n v="0.01"/>
    <n v="40.340000000000003"/>
    <n v="46.259999999999991"/>
    <s v="profit"/>
  </r>
  <r>
    <s v="c6881de5-472c-49cf-92ab-00eb6bc1107d"/>
    <d v="2024-03-07T00:00:00"/>
    <d v="2024-03-15T00:00:00"/>
    <x v="1"/>
    <x v="10"/>
    <s v="Q2"/>
    <n v="8"/>
    <x v="0"/>
    <x v="3"/>
    <x v="0"/>
    <x v="3"/>
    <s v="Bookcases something"/>
    <x v="280"/>
    <n v="6"/>
    <n v="0.21"/>
    <n v="423.95"/>
    <n v="137.33999999999997"/>
    <s v="profit"/>
  </r>
  <r>
    <s v="0dfd1408-137e-4e86-8d18-8dca841324f9"/>
    <d v="2024-05-22T00:00:00"/>
    <d v="2024-05-25T00:00:00"/>
    <x v="0"/>
    <x v="8"/>
    <s v="Q2"/>
    <n v="3"/>
    <x v="2"/>
    <x v="7"/>
    <x v="2"/>
    <x v="2"/>
    <s v="Accessories least"/>
    <x v="281"/>
    <n v="5"/>
    <n v="0.08"/>
    <n v="243.83"/>
    <n v="72.759999999999962"/>
    <s v="profit"/>
  </r>
  <r>
    <s v="580055b7-9ff8-4f5f-8ffb-a0b7a1ae5f65"/>
    <d v="2023-10-26T00:00:00"/>
    <d v="2023-10-29T00:00:00"/>
    <x v="0"/>
    <x v="4"/>
    <s v="Q4"/>
    <n v="3"/>
    <x v="3"/>
    <x v="5"/>
    <x v="2"/>
    <x v="2"/>
    <s v="Accessories two"/>
    <x v="282"/>
    <n v="6"/>
    <n v="0.42"/>
    <n v="403.26"/>
    <n v="343.39"/>
    <s v="profit"/>
  </r>
  <r>
    <s v="c91c118f-ae4b-49ec-8b58-58aa4dc81251"/>
    <d v="2024-04-20T00:00:00"/>
    <d v="2024-04-28T00:00:00"/>
    <x v="1"/>
    <x v="1"/>
    <s v="Q2"/>
    <n v="8"/>
    <x v="2"/>
    <x v="0"/>
    <x v="1"/>
    <x v="4"/>
    <s v="Pens develop"/>
    <x v="283"/>
    <n v="3"/>
    <n v="0.38"/>
    <n v="25.79"/>
    <n v="39.76"/>
    <s v="profit"/>
  </r>
  <r>
    <s v="6a308357-09ef-4c04-b340-7e1a5eff4072"/>
    <d v="2024-03-30T00:00:00"/>
    <d v="2024-03-31T00:00:00"/>
    <x v="0"/>
    <x v="10"/>
    <s v="Q2"/>
    <n v="1"/>
    <x v="2"/>
    <x v="5"/>
    <x v="2"/>
    <x v="6"/>
    <s v="Laptops about"/>
    <x v="284"/>
    <n v="2"/>
    <n v="0.1"/>
    <n v="373.91"/>
    <n v="54.839999999999975"/>
    <s v="profit"/>
  </r>
  <r>
    <s v="845d1d57-6fdd-4972-a49f-90a1eb2bfbe4"/>
    <d v="2023-11-11T00:00:00"/>
    <d v="2023-11-17T00:00:00"/>
    <x v="0"/>
    <x v="5"/>
    <s v="Q4"/>
    <n v="6"/>
    <x v="2"/>
    <x v="2"/>
    <x v="1"/>
    <x v="8"/>
    <s v="Binders pressure"/>
    <x v="285"/>
    <n v="6"/>
    <n v="0.37"/>
    <n v="562.14"/>
    <n v="388.53999999999996"/>
    <s v="profit"/>
  </r>
  <r>
    <s v="745f246b-1c2c-4e45-86e0-04a22afefa81"/>
    <d v="2023-07-12T00:00:00"/>
    <d v="2023-07-14T00:00:00"/>
    <x v="1"/>
    <x v="7"/>
    <s v="Q3"/>
    <n v="2"/>
    <x v="1"/>
    <x v="0"/>
    <x v="1"/>
    <x v="8"/>
    <s v="Binders or"/>
    <x v="286"/>
    <n v="4"/>
    <n v="0.35"/>
    <n v="237.79"/>
    <n v="143.68000000000004"/>
    <s v="profit"/>
  </r>
  <r>
    <s v="20523eda-c5af-4cfa-bc0f-76c69b783db9"/>
    <d v="2023-10-24T00:00:00"/>
    <d v="2023-10-28T00:00:00"/>
    <x v="1"/>
    <x v="4"/>
    <s v="Q4"/>
    <n v="4"/>
    <x v="2"/>
    <x v="1"/>
    <x v="1"/>
    <x v="8"/>
    <s v="Binders continue"/>
    <x v="287"/>
    <n v="2"/>
    <n v="-5"/>
    <n v="825.97"/>
    <n v="105.12"/>
    <s v="profit"/>
  </r>
  <r>
    <s v="614e71ab-510e-4a0e-89d4-03f2313d06f7"/>
    <m/>
    <d v="2024-03-02T00:00:00"/>
    <x v="1"/>
    <x v="10"/>
    <s v="Q2"/>
    <n v="45353"/>
    <x v="4"/>
    <x v="1"/>
    <x v="0"/>
    <x v="0"/>
    <s v="Tables benefit"/>
    <x v="59"/>
    <n v="5"/>
    <n v="0.09"/>
    <n v="502.5"/>
    <e v="#VALUE!"/>
    <s v="profit"/>
  </r>
  <r>
    <s v="aedb6387-2c34-47e3-96e3-f55618166d76"/>
    <d v="2024-04-03T00:00:00"/>
    <d v="2024-04-06T00:00:00"/>
    <x v="2"/>
    <x v="1"/>
    <s v="Q2"/>
    <n v="3"/>
    <x v="0"/>
    <x v="4"/>
    <x v="0"/>
    <x v="0"/>
    <s v="Tables near"/>
    <x v="288"/>
    <n v="10"/>
    <n v="0.48"/>
    <n v="165.4"/>
    <n v="211.48"/>
    <s v="profit"/>
  </r>
  <r>
    <s v="6b12c376-ccff-4135-a7f2-5165b58ace64"/>
    <d v="2023-07-19T00:00:00"/>
    <d v="2023-07-22T00:00:00"/>
    <x v="0"/>
    <x v="7"/>
    <s v="Q3"/>
    <n v="3"/>
    <x v="3"/>
    <x v="2"/>
    <x v="2"/>
    <x v="5"/>
    <s v="Phones affect"/>
    <x v="289"/>
    <n v="1"/>
    <n v="0.03"/>
    <n v="516.73"/>
    <n v="48.439999999999941"/>
    <s v="profit"/>
  </r>
  <r>
    <s v="021c6c8f-cc0a-4e67-b33c-d8814c442bb2"/>
    <d v="2023-01-27T00:00:00"/>
    <d v="2023-02-04T00:00:00"/>
    <x v="1"/>
    <x v="6"/>
    <s v="Q1"/>
    <n v="8"/>
    <x v="0"/>
    <x v="2"/>
    <x v="0"/>
    <x v="3"/>
    <s v="Bookcases that"/>
    <x v="290"/>
    <n v="4"/>
    <n v="0.44"/>
    <n v="43.5"/>
    <n v="101.69999999999999"/>
    <s v="profit"/>
  </r>
  <r>
    <s v="de040105-5d78-4b3d-a88a-fac6c993f9ec"/>
    <d v="2024-07-24T00:00:00"/>
    <d v="2024-07-24T00:00:00"/>
    <x v="1"/>
    <x v="7"/>
    <s v="Q3"/>
    <n v="0"/>
    <x v="3"/>
    <x v="5"/>
    <x v="2"/>
    <x v="5"/>
    <s v="Phones want"/>
    <x v="291"/>
    <n v="1"/>
    <n v="0.43"/>
    <n v="77.08"/>
    <n v="92.309999999999988"/>
    <s v="profit"/>
  </r>
  <r>
    <s v="4814a0be-4692-4c9f-b79f-0536124243e7"/>
    <d v="2024-08-27T00:00:00"/>
    <d v="2024-08-28T00:00:00"/>
    <x v="0"/>
    <x v="2"/>
    <s v="Q3"/>
    <n v="1"/>
    <x v="0"/>
    <x v="7"/>
    <x v="0"/>
    <x v="0"/>
    <s v="Tables build"/>
    <x v="292"/>
    <n v="5"/>
    <n v="0.42"/>
    <n v="347.35"/>
    <n v="319.35000000000002"/>
    <s v="profit"/>
  </r>
  <r>
    <s v="6f814cf8-7b4f-4518-8c62-4cda8cb0149d"/>
    <d v="2023-05-27T00:00:00"/>
    <d v="2023-06-03T00:00:00"/>
    <x v="0"/>
    <x v="3"/>
    <s v="Q3"/>
    <n v="7"/>
    <x v="1"/>
    <x v="2"/>
    <x v="2"/>
    <x v="6"/>
    <s v="Laptops point"/>
    <x v="293"/>
    <n v="10"/>
    <n v="0.32"/>
    <n v="241.79"/>
    <n v="181.44000000000003"/>
    <s v="profit"/>
  </r>
  <r>
    <s v="a0650f57-9289-429d-91ac-6ae66cacafc4"/>
    <d v="2023-06-27T00:00:00"/>
    <d v="2023-07-05T00:00:00"/>
    <x v="1"/>
    <x v="7"/>
    <s v="Q3"/>
    <n v="8"/>
    <x v="3"/>
    <x v="4"/>
    <x v="0"/>
    <x v="0"/>
    <s v="Tables individual"/>
    <x v="294"/>
    <n v="7"/>
    <n v="0.49"/>
    <n v="185.15"/>
    <n v="259"/>
    <s v="profit"/>
  </r>
  <r>
    <s v="7a3db298-8119-4733-b7a8-52e1e2b25566"/>
    <d v="2024-11-04T00:00:00"/>
    <d v="2024-11-04T00:00:00"/>
    <x v="1"/>
    <x v="5"/>
    <s v="Q4"/>
    <n v="0"/>
    <x v="1"/>
    <x v="0"/>
    <x v="2"/>
    <x v="5"/>
    <s v="Phones traditional"/>
    <x v="295"/>
    <n v="8"/>
    <n v="0.18"/>
    <n v="256.70999999999998"/>
    <n v="109.46000000000004"/>
    <s v="profit"/>
  </r>
  <r>
    <s v="a573562b-febc-4d6e-a5e9-6eebf9c9d44a"/>
    <d v="2023-04-06T00:00:00"/>
    <d v="2023-04-12T00:00:00"/>
    <x v="0"/>
    <x v="1"/>
    <s v="Q2"/>
    <n v="6"/>
    <x v="2"/>
    <x v="3"/>
    <x v="1"/>
    <x v="4"/>
    <s v="Pens project"/>
    <x v="296"/>
    <n v="10"/>
    <n v="0.22"/>
    <n v="491.78"/>
    <n v="155.76"/>
    <s v="profit"/>
  </r>
  <r>
    <s v="76f567d3-ce47-4593-a9a0-a5904910651d"/>
    <d v="2024-09-30T00:00:00"/>
    <d v="2024-10-02T00:00:00"/>
    <x v="1"/>
    <x v="4"/>
    <s v="Q4"/>
    <n v="2"/>
    <x v="1"/>
    <x v="4"/>
    <x v="1"/>
    <x v="4"/>
    <s v="Pens them"/>
    <x v="297"/>
    <n v="3"/>
    <n v="0.44"/>
    <n v="152.62"/>
    <n v="177.43"/>
    <s v="profit"/>
  </r>
  <r>
    <s v="610ab7e2-1c8b-49d7-ab48-48f4fbaf29f8"/>
    <d v="2024-08-19T00:00:00"/>
    <d v="2024-08-22T00:00:00"/>
    <x v="0"/>
    <x v="2"/>
    <s v="Q3"/>
    <n v="3"/>
    <x v="3"/>
    <x v="6"/>
    <x v="1"/>
    <x v="1"/>
    <s v="Paper coach"/>
    <x v="298"/>
    <n v="3"/>
    <n v="0.3"/>
    <n v="121.14"/>
    <n v="70.11"/>
    <s v="profit"/>
  </r>
  <r>
    <s v="782ffa04-3b98-4f2a-8785-cc8918b66a7d"/>
    <d v="2022-12-10T00:00:00"/>
    <d v="2022-12-13T00:00:00"/>
    <x v="0"/>
    <x v="9"/>
    <s v="Q4"/>
    <n v="3"/>
    <x v="0"/>
    <x v="3"/>
    <x v="0"/>
    <x v="7"/>
    <s v="Chairs above"/>
    <x v="299"/>
    <n v="4"/>
    <n v="0.05"/>
    <n v="567.83000000000004"/>
    <n v="56.389999999999986"/>
    <s v="profit"/>
  </r>
  <r>
    <s v="3cc58c0f-0076-4192-bee2-94c96ca40d70"/>
    <m/>
    <d v="2023-03-15T00:00:00"/>
    <x v="3"/>
    <x v="10"/>
    <s v="Q2"/>
    <n v="45000"/>
    <x v="4"/>
    <x v="1"/>
    <x v="2"/>
    <x v="5"/>
    <s v="Phones particular"/>
    <x v="59"/>
    <n v="1"/>
    <n v="0.28999999999999998"/>
    <n v="231.64"/>
    <e v="#VALUE!"/>
    <s v="profit"/>
  </r>
  <r>
    <s v="23c5bf87-1f6a-4c5a-9f2f-4ea48ba656c0"/>
    <d v="2024-09-23T00:00:00"/>
    <d v="2024-09-25T00:00:00"/>
    <x v="2"/>
    <x v="11"/>
    <s v="Q4"/>
    <n v="2"/>
    <x v="2"/>
    <x v="2"/>
    <x v="0"/>
    <x v="7"/>
    <s v="Chairs enough"/>
    <x v="300"/>
    <n v="2"/>
    <n v="0.14000000000000001"/>
    <n v="327.02"/>
    <n v="97.54000000000002"/>
    <s v="profit"/>
  </r>
  <r>
    <s v="140bc0d9-d8fc-479d-b6ef-ba9b6df7e206"/>
    <d v="2023-04-22T00:00:00"/>
    <d v="2023-04-28T00:00:00"/>
    <x v="0"/>
    <x v="1"/>
    <s v="Q2"/>
    <n v="6"/>
    <x v="2"/>
    <x v="1"/>
    <x v="2"/>
    <x v="2"/>
    <s v="Accessories relate"/>
    <x v="301"/>
    <n v="4"/>
    <n v="0.3"/>
    <n v="660.25"/>
    <n v="329.07000000000005"/>
    <s v="profit"/>
  </r>
  <r>
    <s v="02a72d08-690c-4c4a-a8e5-1e1ae8ebc4c7"/>
    <d v="2023-01-11T00:00:00"/>
    <d v="2023-01-12T00:00:00"/>
    <x v="1"/>
    <x v="0"/>
    <s v="Q1"/>
    <n v="1"/>
    <x v="0"/>
    <x v="2"/>
    <x v="0"/>
    <x v="3"/>
    <s v="Bookcases herself"/>
    <x v="302"/>
    <n v="7"/>
    <n v="0.21"/>
    <n v="460.38"/>
    <n v="142.04999999999995"/>
    <s v="profit"/>
  </r>
  <r>
    <s v="8c95637b-ea9d-43ef-9050-875d485ff7ff"/>
    <d v="2023-03-20T00:00:00"/>
    <d v="2023-03-22T00:00:00"/>
    <x v="1"/>
    <x v="10"/>
    <s v="Q2"/>
    <n v="2"/>
    <x v="1"/>
    <x v="2"/>
    <x v="0"/>
    <x v="7"/>
    <s v="Chairs reveal"/>
    <x v="303"/>
    <n v="10"/>
    <n v="0.1"/>
    <n v="773.22"/>
    <n v="128.75"/>
    <s v="profit"/>
  </r>
  <r>
    <s v="671afaf2-4224-4989-981b-02289ba59b3a"/>
    <d v="2024-01-22T00:00:00"/>
    <d v="2024-01-22T00:00:00"/>
    <x v="1"/>
    <x v="0"/>
    <s v="Q1"/>
    <n v="0"/>
    <x v="3"/>
    <x v="1"/>
    <x v="2"/>
    <x v="6"/>
    <s v="Laptops benefit"/>
    <x v="304"/>
    <n v="9"/>
    <n v="0.25"/>
    <n v="52.74"/>
    <n v="33.729999999999997"/>
    <s v="profit"/>
  </r>
  <r>
    <s v="8a6c26e9-5084-404e-8f3c-99b1139f6385"/>
    <d v="2024-04-27T00:00:00"/>
    <d v="2024-04-28T00:00:00"/>
    <x v="0"/>
    <x v="1"/>
    <s v="Q2"/>
    <n v="1"/>
    <x v="3"/>
    <x v="4"/>
    <x v="1"/>
    <x v="8"/>
    <s v="Binders fly"/>
    <x v="305"/>
    <n v="2"/>
    <n v="0.03"/>
    <n v="789.61"/>
    <n v="67.730000000000018"/>
    <s v="profit"/>
  </r>
  <r>
    <s v="0ccf52e2-1e92-41b5-88b5-a8b529db211b"/>
    <m/>
    <d v="2024-09-15T00:00:00"/>
    <x v="0"/>
    <x v="11"/>
    <s v="Q4"/>
    <n v="45550"/>
    <x v="4"/>
    <x v="7"/>
    <x v="0"/>
    <x v="0"/>
    <s v="Tables among"/>
    <x v="59"/>
    <n v="10"/>
    <n v="0.11"/>
    <n v="129.13999999999999"/>
    <e v="#VALUE!"/>
    <s v="profit"/>
  </r>
  <r>
    <s v="7bd60e18-57b0-422a-883c-7faa23fddceb"/>
    <d v="2023-11-16T00:00:00"/>
    <d v="2023-11-25T00:00:00"/>
    <x v="2"/>
    <x v="5"/>
    <s v="Q4"/>
    <n v="9"/>
    <x v="2"/>
    <x v="0"/>
    <x v="1"/>
    <x v="1"/>
    <s v="Paper size"/>
    <x v="306"/>
    <n v="2"/>
    <n v="0.36"/>
    <n v="493.5"/>
    <n v="294.77"/>
    <s v="profit"/>
  </r>
  <r>
    <s v="27c17629-1167-4c4f-8fa5-490d62b03797"/>
    <d v="2023-08-22T00:00:00"/>
    <d v="2023-08-30T00:00:00"/>
    <x v="1"/>
    <x v="2"/>
    <s v="Q3"/>
    <n v="8"/>
    <x v="1"/>
    <x v="5"/>
    <x v="2"/>
    <x v="2"/>
    <s v="Accessories budget"/>
    <x v="307"/>
    <n v="8"/>
    <n v="0.01"/>
    <n v="527.30999999999995"/>
    <n v="30.260000000000105"/>
    <s v="profit"/>
  </r>
  <r>
    <s v="3df82531-fcde-4322-99f1-14838f1c57c1"/>
    <d v="2024-10-05T00:00:00"/>
    <d v="2024-10-14T00:00:00"/>
    <x v="1"/>
    <x v="4"/>
    <s v="Q4"/>
    <n v="9"/>
    <x v="3"/>
    <x v="5"/>
    <x v="2"/>
    <x v="6"/>
    <s v="Laptops model"/>
    <x v="308"/>
    <n v="6"/>
    <n v="0.28000000000000003"/>
    <n v="364.22"/>
    <n v="204.91999999999996"/>
    <s v="profit"/>
  </r>
  <r>
    <s v="2a571729-d544-49c7-826c-4895bd848cc2"/>
    <d v="2023-04-07T00:00:00"/>
    <d v="2023-04-11T00:00:00"/>
    <x v="0"/>
    <x v="1"/>
    <s v="Q2"/>
    <n v="4"/>
    <x v="1"/>
    <x v="7"/>
    <x v="0"/>
    <x v="3"/>
    <s v="Bookcases physical"/>
    <x v="309"/>
    <n v="7"/>
    <n v="0.06"/>
    <n v="524.26"/>
    <n v="84.389999999999986"/>
    <s v="profit"/>
  </r>
  <r>
    <s v="ceb3f72f-0043-442c-b76a-3d8ec155e1cd"/>
    <d v="2023-05-05T00:00:00"/>
    <d v="2023-05-13T00:00:00"/>
    <x v="1"/>
    <x v="8"/>
    <s v="Q2"/>
    <n v="8"/>
    <x v="3"/>
    <x v="5"/>
    <x v="1"/>
    <x v="8"/>
    <s v="Binders environmental"/>
    <x v="310"/>
    <n v="1"/>
    <n v="0.38"/>
    <n v="290.87"/>
    <n v="209.40999999999997"/>
    <s v="profit"/>
  </r>
  <r>
    <s v="29d682f2-6a22-4270-a5d3-14e8afd4e848"/>
    <d v="2024-08-31T00:00:00"/>
    <d v="2024-09-01T00:00:00"/>
    <x v="1"/>
    <x v="11"/>
    <s v="Q4"/>
    <n v="1"/>
    <x v="1"/>
    <x v="0"/>
    <x v="1"/>
    <x v="4"/>
    <s v="Pens traditional"/>
    <x v="311"/>
    <n v="5"/>
    <n v="0.09"/>
    <n v="269.58999999999997"/>
    <n v="72.430000000000007"/>
    <s v="profit"/>
  </r>
  <r>
    <s v="a5949ad3-1714-4aad-b38f-30b2b35442d5"/>
    <d v="2024-05-27T00:00:00"/>
    <d v="2024-06-02T00:00:00"/>
    <x v="0"/>
    <x v="3"/>
    <s v="Q3"/>
    <n v="6"/>
    <x v="0"/>
    <x v="4"/>
    <x v="0"/>
    <x v="0"/>
    <s v="Tables of"/>
    <x v="312"/>
    <n v="7"/>
    <n v="0.22"/>
    <n v="226.94"/>
    <n v="94.18"/>
    <s v="profit"/>
  </r>
  <r>
    <s v="7a567b14-17bc-428e-8c11-345d03a732ed"/>
    <d v="2024-05-21T00:00:00"/>
    <d v="2024-05-25T00:00:00"/>
    <x v="0"/>
    <x v="8"/>
    <s v="Q2"/>
    <n v="4"/>
    <x v="3"/>
    <x v="3"/>
    <x v="0"/>
    <x v="7"/>
    <s v="Chairs spend"/>
    <x v="313"/>
    <n v="8"/>
    <n v="0.05"/>
    <n v="404.69"/>
    <n v="69.25"/>
    <s v="profit"/>
  </r>
  <r>
    <s v="832b7c09-929d-48c9-ad8b-8a4f6f2b0f31"/>
    <m/>
    <d v="2024-10-29T00:00:00"/>
    <x v="0"/>
    <x v="4"/>
    <s v="Q4"/>
    <n v="45594"/>
    <x v="4"/>
    <x v="3"/>
    <x v="0"/>
    <x v="0"/>
    <s v="Tables nice"/>
    <x v="59"/>
    <n v="7"/>
    <n v="0.28999999999999998"/>
    <n v="433.85"/>
    <e v="#VALUE!"/>
    <s v="profit"/>
  </r>
  <r>
    <s v="05cf0460-60a0-4ff7-acf3-fd6db411bfda"/>
    <d v="2023-05-11T00:00:00"/>
    <d v="2023-05-19T00:00:00"/>
    <x v="2"/>
    <x v="8"/>
    <s v="Q2"/>
    <n v="8"/>
    <x v="1"/>
    <x v="6"/>
    <x v="0"/>
    <x v="0"/>
    <s v="Tables eye"/>
    <x v="314"/>
    <n v="2"/>
    <n v="0.34"/>
    <n v="440.1"/>
    <n v="258.68999999999994"/>
    <s v="profit"/>
  </r>
  <r>
    <s v="d3ddc00d-b080-455b-8060-c47fc9d0f85e"/>
    <d v="2023-01-16T00:00:00"/>
    <d v="2023-01-18T00:00:00"/>
    <x v="1"/>
    <x v="0"/>
    <s v="Q1"/>
    <n v="2"/>
    <x v="0"/>
    <x v="5"/>
    <x v="0"/>
    <x v="3"/>
    <s v="Bookcases listen"/>
    <x v="315"/>
    <n v="6"/>
    <n v="0.27"/>
    <n v="247.55"/>
    <n v="140.46999999999997"/>
    <s v="profit"/>
  </r>
  <r>
    <s v="efd65cd0-cb50-4147-a4e2-2b6a065d020d"/>
    <d v="2023-04-23T00:00:00"/>
    <d v="2023-04-26T00:00:00"/>
    <x v="1"/>
    <x v="1"/>
    <s v="Q2"/>
    <n v="3"/>
    <x v="1"/>
    <x v="5"/>
    <x v="2"/>
    <x v="5"/>
    <s v="Phones heart"/>
    <x v="316"/>
    <n v="7"/>
    <n v="0.27"/>
    <n v="38.520000000000003"/>
    <n v="39.26"/>
    <s v="profit"/>
  </r>
  <r>
    <s v="61df9e97-892e-47cc-8802-d587cee62901"/>
    <d v="2023-01-09T00:00:00"/>
    <d v="2023-01-18T00:00:00"/>
    <x v="1"/>
    <x v="0"/>
    <s v="Q1"/>
    <n v="9"/>
    <x v="0"/>
    <x v="3"/>
    <x v="2"/>
    <x v="2"/>
    <s v="Accessories firm"/>
    <x v="317"/>
    <n v="9"/>
    <n v="0.27"/>
    <n v="645.16999999999996"/>
    <n v="275.47000000000003"/>
    <s v="profit"/>
  </r>
  <r>
    <s v="aebc04d5-cc8f-4d43-b92d-06fb81195b7f"/>
    <d v="2023-05-18T00:00:00"/>
    <d v="2023-05-22T00:00:00"/>
    <x v="1"/>
    <x v="8"/>
    <s v="Q2"/>
    <n v="4"/>
    <x v="0"/>
    <x v="5"/>
    <x v="2"/>
    <x v="2"/>
    <s v="Accessories short"/>
    <x v="318"/>
    <n v="1"/>
    <n v="0.06"/>
    <n v="288.23"/>
    <n v="37.339999999999975"/>
    <s v="profit"/>
  </r>
  <r>
    <s v="6cb2de37-4a8a-47e0-8225-129d1a4109a5"/>
    <d v="2023-12-10T00:00:00"/>
    <d v="2023-12-19T00:00:00"/>
    <x v="1"/>
    <x v="9"/>
    <s v="Q4"/>
    <n v="9"/>
    <x v="0"/>
    <x v="0"/>
    <x v="1"/>
    <x v="8"/>
    <s v="Binders eat"/>
    <x v="319"/>
    <n v="1"/>
    <n v="0.21"/>
    <n v="356.31"/>
    <n v="157.86999999999995"/>
    <s v="profit"/>
  </r>
  <r>
    <s v="b8dc8fe4-4f30-4fb6-89cf-b928edfed38a"/>
    <d v="2023-06-08T00:00:00"/>
    <d v="2023-06-17T00:00:00"/>
    <x v="1"/>
    <x v="3"/>
    <s v="Q3"/>
    <n v="9"/>
    <x v="3"/>
    <x v="3"/>
    <x v="1"/>
    <x v="4"/>
    <s v="Pens eat"/>
    <x v="320"/>
    <n v="7"/>
    <n v="0.4"/>
    <n v="374.11"/>
    <n v="331.90999999999997"/>
    <s v="profit"/>
  </r>
  <r>
    <s v="80dc743e-dbb0-4a42-9361-5972f1ff915e"/>
    <d v="2024-04-28T00:00:00"/>
    <d v="2024-05-02T00:00:00"/>
    <x v="1"/>
    <x v="8"/>
    <s v="Q2"/>
    <n v="4"/>
    <x v="0"/>
    <x v="0"/>
    <x v="1"/>
    <x v="1"/>
    <s v="Paper land"/>
    <x v="321"/>
    <n v="3"/>
    <n v="0.46"/>
    <n v="85.62"/>
    <n v="159.62"/>
    <s v="profit"/>
  </r>
  <r>
    <s v="9b1fc689-5073-49c8-b7d6-5003f628f685"/>
    <d v="2023-08-01T00:00:00"/>
    <d v="2023-08-06T00:00:00"/>
    <x v="0"/>
    <x v="2"/>
    <s v="Q3"/>
    <n v="5"/>
    <x v="0"/>
    <x v="7"/>
    <x v="2"/>
    <x v="2"/>
    <s v="Accessories these"/>
    <x v="322"/>
    <n v="1"/>
    <n v="0.18"/>
    <n v="-9.83"/>
    <n v="50.96"/>
    <s v="loss"/>
  </r>
  <r>
    <s v="3e81fadc-62f5-4f9e-bbac-3a7fbb353ca2"/>
    <d v="2023-05-01T00:00:00"/>
    <d v="2023-05-07T00:00:00"/>
    <x v="1"/>
    <x v="8"/>
    <s v="Q2"/>
    <n v="6"/>
    <x v="1"/>
    <x v="6"/>
    <x v="0"/>
    <x v="7"/>
    <s v="Chairs production"/>
    <x v="323"/>
    <n v="1"/>
    <n v="0.5"/>
    <n v="186.87"/>
    <n v="229.57999999999998"/>
    <s v="profit"/>
  </r>
  <r>
    <s v="93f5a7ef-4939-45ff-b7d9-37101cbe9ea3"/>
    <d v="2023-08-02T00:00:00"/>
    <d v="2023-08-06T00:00:00"/>
    <x v="1"/>
    <x v="2"/>
    <s v="Q3"/>
    <n v="4"/>
    <x v="0"/>
    <x v="2"/>
    <x v="1"/>
    <x v="8"/>
    <s v="Binders itself"/>
    <x v="324"/>
    <s v="Null"/>
    <n v="0.28999999999999998"/>
    <n v="429.63"/>
    <n v="216.23000000000002"/>
    <s v="profit"/>
  </r>
  <r>
    <s v="5d782746-30fc-49b8-a89c-27fc6854e205"/>
    <d v="2024-10-01T00:00:00"/>
    <d v="2024-10-10T00:00:00"/>
    <x v="1"/>
    <x v="4"/>
    <s v="Q4"/>
    <n v="9"/>
    <x v="3"/>
    <x v="6"/>
    <x v="0"/>
    <x v="3"/>
    <s v="Bookcases discover"/>
    <x v="325"/>
    <n v="2"/>
    <n v="0.28000000000000003"/>
    <n v="387.61"/>
    <n v="209.61"/>
    <s v="profit"/>
  </r>
  <r>
    <s v="1895add0-274c-46c4-a25d-9112d2358580"/>
    <d v="2023-02-04T00:00:00"/>
    <d v="2023-02-12T00:00:00"/>
    <x v="0"/>
    <x v="6"/>
    <s v="Q1"/>
    <n v="8"/>
    <x v="2"/>
    <x v="4"/>
    <x v="0"/>
    <x v="3"/>
    <s v="Bookcases work"/>
    <x v="326"/>
    <n v="4"/>
    <n v="0.19"/>
    <n v="-13.65"/>
    <n v="40.25"/>
    <s v="loss"/>
  </r>
  <r>
    <s v="e7e5cdbe-ff54-4ecd-a219-c364a8cbd555"/>
    <d v="2023-12-11T00:00:00"/>
    <d v="2023-12-16T00:00:00"/>
    <x v="1"/>
    <x v="9"/>
    <s v="Q4"/>
    <n v="5"/>
    <x v="3"/>
    <x v="1"/>
    <x v="2"/>
    <x v="5"/>
    <s v="Phones animal"/>
    <x v="327"/>
    <n v="1"/>
    <n v="0.02"/>
    <n v="939.32"/>
    <n v="33.979999999999905"/>
    <s v="profit"/>
  </r>
  <r>
    <s v="80636580-7646-473b-ad4f-f1eb5e5003b0"/>
    <d v="2023-07-13T00:00:00"/>
    <d v="2023-07-16T00:00:00"/>
    <x v="1"/>
    <x v="7"/>
    <s v="Q3"/>
    <n v="3"/>
    <x v="0"/>
    <x v="2"/>
    <x v="1"/>
    <x v="8"/>
    <s v="Binders rule"/>
    <x v="328"/>
    <n v="2"/>
    <n v="0.48"/>
    <n v="293.63"/>
    <n v="292.01"/>
    <s v="profit"/>
  </r>
  <r>
    <s v="ff8be45f-6560-454e-b19c-5ea3baf4e4be"/>
    <d v="2023-04-18T00:00:00"/>
    <d v="2023-04-20T00:00:00"/>
    <x v="1"/>
    <x v="1"/>
    <s v="Q2"/>
    <n v="2"/>
    <x v="3"/>
    <x v="4"/>
    <x v="1"/>
    <x v="1"/>
    <s v="Paper skill"/>
    <x v="329"/>
    <n v="2"/>
    <n v="0.3"/>
    <n v="277.25"/>
    <n v="140.24"/>
    <s v="profit"/>
  </r>
  <r>
    <s v="1745ae5f-cfc3-4c97-b47e-58e25e65f8c8"/>
    <d v="2023-02-21T00:00:00"/>
    <d v="2023-02-25T00:00:00"/>
    <x v="1"/>
    <x v="6"/>
    <s v="Q1"/>
    <n v="4"/>
    <x v="3"/>
    <x v="4"/>
    <x v="0"/>
    <x v="0"/>
    <s v="Tables serious"/>
    <x v="330"/>
    <n v="3"/>
    <n v="0.46"/>
    <n v="420.54"/>
    <n v="424.28000000000003"/>
    <s v="profit"/>
  </r>
  <r>
    <s v="65f12f13-9a0a-4636-8503-8f9b35269011"/>
    <m/>
    <d v="2023-02-10T00:00:00"/>
    <x v="1"/>
    <x v="6"/>
    <s v="Q1"/>
    <n v="44967"/>
    <x v="4"/>
    <x v="2"/>
    <x v="1"/>
    <x v="8"/>
    <s v="Binders common"/>
    <x v="59"/>
    <n v="6"/>
    <n v="0.43"/>
    <n v="346.09"/>
    <e v="#VALUE!"/>
    <s v="profit"/>
  </r>
  <r>
    <s v="f1c4be5e-eb15-4c6e-a213-b3d21888afdb"/>
    <d v="2022-12-09T00:00:00"/>
    <d v="2022-12-17T00:00:00"/>
    <x v="2"/>
    <x v="9"/>
    <s v="Q4"/>
    <n v="8"/>
    <x v="2"/>
    <x v="7"/>
    <x v="2"/>
    <x v="2"/>
    <s v="Accessories recognize"/>
    <x v="331"/>
    <n v="2"/>
    <n v="0.31"/>
    <n v="457.05"/>
    <n v="255.49999999999994"/>
    <s v="profit"/>
  </r>
  <r>
    <s v="9b6d7160-b116-4b6a-981c-0b0cc599b16a"/>
    <d v="2024-09-23T00:00:00"/>
    <d v="2024-09-26T00:00:00"/>
    <x v="3"/>
    <x v="11"/>
    <s v="Q4"/>
    <n v="3"/>
    <x v="0"/>
    <x v="4"/>
    <x v="0"/>
    <x v="7"/>
    <s v="Chairs your"/>
    <x v="332"/>
    <n v="2"/>
    <n v="0.3"/>
    <n v="160.97999999999999"/>
    <n v="126.97999999999999"/>
    <s v="profit"/>
  </r>
  <r>
    <s v="540919e8-1221-4128-ab18-a5804b160e5d"/>
    <d v="2023-01-13T00:00:00"/>
    <d v="2023-01-22T00:00:00"/>
    <x v="0"/>
    <x v="0"/>
    <s v="Q1"/>
    <n v="9"/>
    <x v="2"/>
    <x v="1"/>
    <x v="2"/>
    <x v="5"/>
    <s v="Phones cover"/>
    <x v="333"/>
    <n v="10"/>
    <n v="0.4"/>
    <n v="45.45"/>
    <n v="58.61"/>
    <s v="profit"/>
  </r>
  <r>
    <s v="c4a93b53-3a2e-44ef-bf24-3ddea18cf401"/>
    <d v="2022-12-07T00:00:00"/>
    <d v="2022-12-09T00:00:00"/>
    <x v="1"/>
    <x v="9"/>
    <s v="Q4"/>
    <n v="2"/>
    <x v="3"/>
    <x v="7"/>
    <x v="2"/>
    <x v="5"/>
    <s v="Phones all"/>
    <x v="334"/>
    <n v="5"/>
    <n v="0.21"/>
    <n v="413.93"/>
    <n v="170.65000000000003"/>
    <s v="profit"/>
  </r>
  <r>
    <s v="b87b670d-8b75-4c64-8e4d-6dda03b9c1fb"/>
    <d v="2024-06-01T00:00:00"/>
    <d v="2024-06-08T00:00:00"/>
    <x v="3"/>
    <x v="3"/>
    <s v="Q3"/>
    <n v="7"/>
    <x v="1"/>
    <x v="6"/>
    <x v="0"/>
    <x v="0"/>
    <s v="Tables walk"/>
    <x v="335"/>
    <n v="5"/>
    <n v="0.4"/>
    <n v="444.91"/>
    <n v="339.09"/>
    <s v="profit"/>
  </r>
  <r>
    <s v="e05b68e9-fc3d-4afc-98bc-b007bae9c0d2"/>
    <d v="2023-08-15T00:00:00"/>
    <d v="2023-08-23T00:00:00"/>
    <x v="0"/>
    <x v="2"/>
    <s v="Q3"/>
    <n v="8"/>
    <x v="0"/>
    <x v="0"/>
    <x v="2"/>
    <x v="6"/>
    <s v="Laptops forward"/>
    <x v="336"/>
    <n v="5"/>
    <n v="0.44"/>
    <n v="434.04"/>
    <n v="392.59"/>
    <s v="profit"/>
  </r>
  <r>
    <s v="a3049eaf-1b27-4c14-a168-51c435b5a5aa"/>
    <d v="2023-01-04T00:00:00"/>
    <d v="2023-01-12T00:00:00"/>
    <x v="1"/>
    <x v="0"/>
    <s v="Q1"/>
    <n v="8"/>
    <x v="1"/>
    <x v="4"/>
    <x v="2"/>
    <x v="5"/>
    <s v="Phones ten"/>
    <x v="337"/>
    <n v="9"/>
    <n v="0.05"/>
    <n v="128.88"/>
    <n v="17.800000000000011"/>
    <s v="profit"/>
  </r>
  <r>
    <s v="5e01e032-6e36-472d-8fde-3f9a5b938644"/>
    <d v="2024-07-18T00:00:00"/>
    <d v="2024-07-18T00:00:00"/>
    <x v="1"/>
    <x v="7"/>
    <s v="Q3"/>
    <n v="0"/>
    <x v="0"/>
    <x v="5"/>
    <x v="2"/>
    <x v="6"/>
    <s v="Laptops relate"/>
    <x v="338"/>
    <n v="3"/>
    <n v="0.38"/>
    <n v="500.7"/>
    <n v="372.87000000000006"/>
    <s v="profit"/>
  </r>
  <r>
    <s v="f671a0e2-8027-4017-9dab-272eb4e9996b"/>
    <d v="2024-12-03T00:00:00"/>
    <d v="2024-12-05T00:00:00"/>
    <x v="0"/>
    <x v="9"/>
    <s v="Q4"/>
    <n v="2"/>
    <x v="2"/>
    <x v="2"/>
    <x v="0"/>
    <x v="3"/>
    <s v="Bookcases main"/>
    <x v="339"/>
    <n v="10"/>
    <n v="0.04"/>
    <n v="515.66999999999996"/>
    <n v="49.720000000000027"/>
    <s v="profit"/>
  </r>
  <r>
    <s v="c84962a8-7351-4722-8c57-9a367b7fbb9d"/>
    <d v="2023-12-11T00:00:00"/>
    <d v="2023-12-17T00:00:00"/>
    <x v="0"/>
    <x v="9"/>
    <s v="Q4"/>
    <n v="6"/>
    <x v="2"/>
    <x v="2"/>
    <x v="2"/>
    <x v="2"/>
    <s v="Accessories other"/>
    <x v="340"/>
    <n v="9"/>
    <n v="0.18"/>
    <n v="186.44"/>
    <n v="93.339999999999975"/>
    <s v="profit"/>
  </r>
  <r>
    <s v="534ce165-98f9-4006-8c52-5c531965bfbf"/>
    <d v="2024-04-26T00:00:00"/>
    <d v="2024-04-29T00:00:00"/>
    <x v="1"/>
    <x v="1"/>
    <s v="Q2"/>
    <n v="3"/>
    <x v="0"/>
    <x v="4"/>
    <x v="0"/>
    <x v="7"/>
    <s v="Chairs industry"/>
    <x v="341"/>
    <n v="5"/>
    <n v="0.15"/>
    <n v="316.17"/>
    <n v="80.319999999999993"/>
    <s v="profit"/>
  </r>
  <r>
    <s v="b3c4e1e7-2987-4c8b-aac0-bed0d2d4f26f"/>
    <d v="2024-09-07T00:00:00"/>
    <d v="2024-09-15T00:00:00"/>
    <x v="0"/>
    <x v="11"/>
    <s v="Q4"/>
    <n v="8"/>
    <x v="2"/>
    <x v="5"/>
    <x v="1"/>
    <x v="1"/>
    <s v="Paper likely"/>
    <x v="342"/>
    <n v="6"/>
    <n v="0.2"/>
    <n v="16.170000000000002"/>
    <n v="63.769999999999996"/>
    <s v="profit"/>
  </r>
  <r>
    <s v="5b91b6b3-4654-47c2-914c-4c9708193469"/>
    <d v="2023-07-08T00:00:00"/>
    <d v="2023-07-09T00:00:00"/>
    <x v="0"/>
    <x v="7"/>
    <s v="Q3"/>
    <n v="1"/>
    <x v="3"/>
    <x v="4"/>
    <x v="2"/>
    <x v="2"/>
    <s v="Accessories contain"/>
    <x v="343"/>
    <n v="8"/>
    <n v="0.19"/>
    <n v="502.43"/>
    <n v="156.33999999999997"/>
    <s v="profit"/>
  </r>
  <r>
    <s v="7f3cada1-974f-4ee4-a8d3-62e777e660ec"/>
    <d v="2022-12-16T00:00:00"/>
    <d v="2022-12-20T00:00:00"/>
    <x v="1"/>
    <x v="9"/>
    <s v="Q4"/>
    <n v="4"/>
    <x v="3"/>
    <x v="2"/>
    <x v="1"/>
    <x v="4"/>
    <s v="Pens foot"/>
    <x v="344"/>
    <n v="6"/>
    <n v="0.48"/>
    <n v="72.150000000000006"/>
    <n v="102.13999999999999"/>
    <s v="profit"/>
  </r>
  <r>
    <s v="f9575dd3-c19e-47e2-8660-81fe80f644be"/>
    <d v="2024-09-23T00:00:00"/>
    <d v="2024-09-28T00:00:00"/>
    <x v="3"/>
    <x v="11"/>
    <s v="Q4"/>
    <n v="5"/>
    <x v="0"/>
    <x v="6"/>
    <x v="1"/>
    <x v="4"/>
    <s v="Pens forward"/>
    <x v="345"/>
    <n v="6"/>
    <n v="0.17"/>
    <n v="430.36"/>
    <n v="124.65999999999997"/>
    <s v="profit"/>
  </r>
  <r>
    <s v="5df305c9-4062-440b-89b4-cdb770610f3b"/>
    <d v="2024-02-27T00:00:00"/>
    <d v="2024-02-28T00:00:00"/>
    <x v="0"/>
    <x v="6"/>
    <s v="Q1"/>
    <n v="1"/>
    <x v="1"/>
    <x v="6"/>
    <x v="2"/>
    <x v="6"/>
    <s v="Laptops discussion"/>
    <x v="346"/>
    <n v="1"/>
    <n v="0.45"/>
    <n v="404.82"/>
    <n v="411.12000000000006"/>
    <s v="profit"/>
  </r>
  <r>
    <s v="1319af4d-51c5-4b6e-9cc7-7a4669642159"/>
    <d v="2024-07-23T00:00:00"/>
    <d v="2024-07-30T00:00:00"/>
    <x v="0"/>
    <x v="7"/>
    <s v="Q3"/>
    <n v="7"/>
    <x v="1"/>
    <x v="6"/>
    <x v="0"/>
    <x v="7"/>
    <s v="Chairs resource"/>
    <x v="347"/>
    <n v="3"/>
    <n v="0.04"/>
    <n v="590.11"/>
    <n v="69.17999999999995"/>
    <s v="profit"/>
  </r>
  <r>
    <s v="28b56c27-1c36-4fbc-8f87-8cc3d852631a"/>
    <d v="2023-08-20T00:00:00"/>
    <d v="2023-08-23T00:00:00"/>
    <x v="0"/>
    <x v="2"/>
    <s v="Q3"/>
    <n v="3"/>
    <x v="1"/>
    <x v="6"/>
    <x v="1"/>
    <x v="8"/>
    <s v="Binders government"/>
    <x v="348"/>
    <n v="5"/>
    <n v="0.39"/>
    <n v="350.94"/>
    <n v="248.10999999999996"/>
    <s v="profit"/>
  </r>
  <r>
    <s v="30023efc-eec4-454d-b58f-a7719ac63be8"/>
    <d v="2023-11-21T00:00:00"/>
    <d v="2023-11-30T00:00:00"/>
    <x v="1"/>
    <x v="5"/>
    <s v="Q4"/>
    <n v="9"/>
    <x v="3"/>
    <x v="6"/>
    <x v="1"/>
    <x v="4"/>
    <s v="Pens reduce"/>
    <x v="349"/>
    <n v="1"/>
    <n v="0.18"/>
    <n v="617.91999999999996"/>
    <n v="182.80000000000007"/>
    <s v="profit"/>
  </r>
  <r>
    <s v="6c38368f-2d38-4361-ac04-9e3a1fa7275b"/>
    <d v="2024-03-12T00:00:00"/>
    <d v="2024-03-14T00:00:00"/>
    <x v="1"/>
    <x v="10"/>
    <s v="Q2"/>
    <n v="2"/>
    <x v="3"/>
    <x v="1"/>
    <x v="0"/>
    <x v="7"/>
    <s v="Chairs media"/>
    <x v="350"/>
    <n v="4"/>
    <n v="0.4"/>
    <n v="534.70000000000005"/>
    <n v="439.08999999999992"/>
    <s v="profit"/>
  </r>
  <r>
    <s v="b4194c6e-9770-450c-9d49-f7b931832aa9"/>
    <d v="2024-04-26T00:00:00"/>
    <d v="2024-04-28T00:00:00"/>
    <x v="0"/>
    <x v="1"/>
    <s v="Q2"/>
    <n v="2"/>
    <x v="1"/>
    <x v="3"/>
    <x v="2"/>
    <x v="6"/>
    <s v="Laptops section"/>
    <x v="351"/>
    <n v="6"/>
    <n v="0.09"/>
    <n v="15.41"/>
    <n v="45.709999999999994"/>
    <s v="profit"/>
  </r>
  <r>
    <s v="48ac4221-06fb-4d34-a1a4-9ced86b12864"/>
    <d v="2023-03-11T00:00:00"/>
    <d v="2023-03-17T00:00:00"/>
    <x v="0"/>
    <x v="10"/>
    <s v="Q2"/>
    <n v="6"/>
    <x v="0"/>
    <x v="5"/>
    <x v="2"/>
    <x v="2"/>
    <s v="Accessories turn"/>
    <x v="352"/>
    <n v="10"/>
    <n v="0.22"/>
    <n v="546.72"/>
    <n v="209.63"/>
    <s v="profit"/>
  </r>
  <r>
    <s v="4b4591be-93a2-4c29-a265-c158551b0370"/>
    <d v="2024-04-06T00:00:00"/>
    <d v="2024-04-13T00:00:00"/>
    <x v="1"/>
    <x v="1"/>
    <s v="Q2"/>
    <n v="7"/>
    <x v="1"/>
    <x v="0"/>
    <x v="2"/>
    <x v="5"/>
    <s v="Phones bit"/>
    <x v="353"/>
    <n v="5"/>
    <n v="0.08"/>
    <n v="271.10000000000002"/>
    <n v="51.44"/>
    <s v="profit"/>
  </r>
  <r>
    <s v="fc456316-49b0-4393-a4c5-0c3f66ae2afc"/>
    <m/>
    <d v="2024-09-28T00:00:00"/>
    <x v="0"/>
    <x v="11"/>
    <s v="Q4"/>
    <n v="45563"/>
    <x v="4"/>
    <x v="2"/>
    <x v="2"/>
    <x v="5"/>
    <s v="Phones year"/>
    <x v="59"/>
    <n v="8"/>
    <n v="0.05"/>
    <n v="450.95"/>
    <e v="#VALUE!"/>
    <s v="profit"/>
  </r>
  <r>
    <s v="7474a810-a43b-4947-b041-4359f88ebfe2"/>
    <m/>
    <d v="2023-09-01T00:00:00"/>
    <x v="2"/>
    <x v="11"/>
    <s v="Q4"/>
    <n v="45170"/>
    <x v="4"/>
    <x v="2"/>
    <x v="1"/>
    <x v="1"/>
    <s v="Paper low"/>
    <x v="59"/>
    <n v="10"/>
    <n v="0.1"/>
    <n v="279.01"/>
    <e v="#VALUE!"/>
    <s v="profit"/>
  </r>
  <r>
    <s v="d03d55ef-8e70-404e-baea-3093f7b67c2c"/>
    <d v="2023-07-05T00:00:00"/>
    <d v="2023-07-14T00:00:00"/>
    <x v="2"/>
    <x v="7"/>
    <s v="Q3"/>
    <n v="9"/>
    <x v="3"/>
    <x v="1"/>
    <x v="0"/>
    <x v="0"/>
    <s v="Tables general"/>
    <x v="354"/>
    <n v="3"/>
    <n v="0.36"/>
    <n v="7.1"/>
    <n v="59.85"/>
    <s v="profit"/>
  </r>
  <r>
    <s v="9fdd6ffd-b762-461f-9b3a-14d368c52274"/>
    <d v="2024-09-11T00:00:00"/>
    <d v="2024-09-17T00:00:00"/>
    <x v="1"/>
    <x v="11"/>
    <s v="Q4"/>
    <n v="6"/>
    <x v="0"/>
    <x v="5"/>
    <x v="1"/>
    <x v="1"/>
    <s v="Paper available"/>
    <x v="355"/>
    <n v="6"/>
    <n v="0.31"/>
    <n v="-25.02"/>
    <n v="60.61"/>
    <s v="loss"/>
  </r>
  <r>
    <s v="5898a74c-fe24-4756-b83a-df3e5b8caf1d"/>
    <d v="2023-01-03T00:00:00"/>
    <d v="2023-01-04T00:00:00"/>
    <x v="0"/>
    <x v="0"/>
    <s v="Q1"/>
    <n v="1"/>
    <x v="0"/>
    <x v="6"/>
    <x v="1"/>
    <x v="4"/>
    <s v="Pens such"/>
    <x v="356"/>
    <n v="7"/>
    <n v="0.18"/>
    <n v="594.59"/>
    <n v="149.55999999999995"/>
    <s v="profit"/>
  </r>
  <r>
    <s v="c8b43cc2-bd3a-4fed-97be-b32062402f47"/>
    <d v="2024-10-10T00:00:00"/>
    <d v="2024-10-11T00:00:00"/>
    <x v="1"/>
    <x v="4"/>
    <s v="Q4"/>
    <n v="1"/>
    <x v="0"/>
    <x v="5"/>
    <x v="0"/>
    <x v="0"/>
    <s v="Tables air"/>
    <x v="357"/>
    <n v="5"/>
    <n v="0.18"/>
    <n v="241.78"/>
    <n v="69.609999999999985"/>
    <s v="profit"/>
  </r>
  <r>
    <s v="e5b19e8d-6459-4d9b-be7a-f72c2fdb3eef"/>
    <d v="2023-05-27T00:00:00"/>
    <d v="2023-06-03T00:00:00"/>
    <x v="0"/>
    <x v="3"/>
    <s v="Q3"/>
    <n v="7"/>
    <x v="2"/>
    <x v="3"/>
    <x v="0"/>
    <x v="3"/>
    <s v="Bookcases it"/>
    <x v="358"/>
    <n v="1"/>
    <n v="0.48"/>
    <n v="402.09"/>
    <n v="399.36000000000007"/>
    <s v="profit"/>
  </r>
  <r>
    <s v="9455a9c6-1d10-4b08-8a85-69825d606bb8"/>
    <d v="2024-07-31T00:00:00"/>
    <d v="2024-08-08T00:00:00"/>
    <x v="1"/>
    <x v="2"/>
    <s v="Q3"/>
    <n v="8"/>
    <x v="3"/>
    <x v="2"/>
    <x v="1"/>
    <x v="1"/>
    <s v="Paper public"/>
    <x v="359"/>
    <n v="4"/>
    <n v="0.16"/>
    <n v="50.48"/>
    <n v="28.720000000000006"/>
    <s v="profit"/>
  </r>
  <r>
    <s v="55f0c2d4-d255-4dd5-bc8d-709190fde1dd"/>
    <d v="2023-02-12T00:00:00"/>
    <d v="2023-02-17T00:00:00"/>
    <x v="0"/>
    <x v="6"/>
    <s v="Q1"/>
    <n v="5"/>
    <x v="3"/>
    <x v="3"/>
    <x v="1"/>
    <x v="8"/>
    <s v="Binders note"/>
    <x v="360"/>
    <n v="1"/>
    <n v="0.06"/>
    <n v="539.83000000000004"/>
    <n v="62.439999999999941"/>
    <s v="profit"/>
  </r>
  <r>
    <s v="ceeb3d24-7036-4e86-a9e9-54d879331867"/>
    <d v="2024-03-08T00:00:00"/>
    <d v="2024-03-13T00:00:00"/>
    <x v="1"/>
    <x v="10"/>
    <s v="Q2"/>
    <n v="5"/>
    <x v="2"/>
    <x v="1"/>
    <x v="2"/>
    <x v="6"/>
    <s v="Laptops ground"/>
    <x v="361"/>
    <n v="1"/>
    <n v="0.14000000000000001"/>
    <n v="61"/>
    <n v="37.010000000000005"/>
    <s v="profit"/>
  </r>
  <r>
    <s v="cc69ff56-8de6-49ee-b57f-db3d51603e11"/>
    <d v="2023-11-19T00:00:00"/>
    <d v="2023-11-24T00:00:00"/>
    <x v="0"/>
    <x v="5"/>
    <s v="Q4"/>
    <n v="5"/>
    <x v="0"/>
    <x v="4"/>
    <x v="2"/>
    <x v="5"/>
    <s v="Phones while"/>
    <x v="362"/>
    <s v="Null"/>
    <n v="0.08"/>
    <n v="53.45"/>
    <n v="54.78"/>
    <s v="profit"/>
  </r>
  <r>
    <s v="5a4a7652-d03f-4cdc-a257-5617a3f033f2"/>
    <d v="2023-01-09T00:00:00"/>
    <d v="2023-01-10T00:00:00"/>
    <x v="1"/>
    <x v="0"/>
    <s v="Q1"/>
    <n v="1"/>
    <x v="0"/>
    <x v="0"/>
    <x v="1"/>
    <x v="1"/>
    <s v="Paper Democrat"/>
    <x v="363"/>
    <n v="1"/>
    <n v="0.26"/>
    <n v="276.42"/>
    <n v="112.27999999999997"/>
    <s v="profit"/>
  </r>
  <r>
    <s v="1ccad9b1-6ce5-4e0e-a916-f38ab766f9f4"/>
    <d v="2024-10-14T00:00:00"/>
    <d v="2024-10-19T00:00:00"/>
    <x v="1"/>
    <x v="4"/>
    <s v="Q4"/>
    <n v="5"/>
    <x v="0"/>
    <x v="1"/>
    <x v="1"/>
    <x v="4"/>
    <s v="Pens assume"/>
    <x v="364"/>
    <n v="1"/>
    <n v="0.45"/>
    <n v="456.18"/>
    <n v="393.36999999999995"/>
    <s v="profit"/>
  </r>
  <r>
    <s v="3a1d0f1c-b892-4574-a3cc-68e84faef558"/>
    <d v="2024-06-14T00:00:00"/>
    <d v="2024-06-14T00:00:00"/>
    <x v="0"/>
    <x v="3"/>
    <s v="Q3"/>
    <n v="0"/>
    <x v="2"/>
    <x v="2"/>
    <x v="2"/>
    <x v="6"/>
    <s v="Laptops administration"/>
    <x v="365"/>
    <n v="6"/>
    <n v="0.05"/>
    <n v="28.24"/>
    <n v="22.48"/>
    <s v="profit"/>
  </r>
  <r>
    <s v="356f960c-776e-4841-a356-e10c3bb9aedb"/>
    <d v="2024-05-22T00:00:00"/>
    <d v="2024-05-29T00:00:00"/>
    <x v="0"/>
    <x v="8"/>
    <s v="Q2"/>
    <n v="7"/>
    <x v="0"/>
    <x v="3"/>
    <x v="0"/>
    <x v="3"/>
    <s v="Bookcases try"/>
    <x v="366"/>
    <n v="5"/>
    <n v="0.28999999999999998"/>
    <n v="174.68"/>
    <n v="140.46999999999997"/>
    <s v="profit"/>
  </r>
  <r>
    <s v="e01bb81b-2d79-4647-a8c8-a58130cd59f5"/>
    <d v="2024-02-23T00:00:00"/>
    <d v="2024-02-24T00:00:00"/>
    <x v="0"/>
    <x v="6"/>
    <s v="Q1"/>
    <n v="1"/>
    <x v="3"/>
    <x v="0"/>
    <x v="0"/>
    <x v="7"/>
    <s v="Chairs rich"/>
    <x v="367"/>
    <n v="5"/>
    <n v="0.49"/>
    <n v="249.93"/>
    <n v="270.36999999999995"/>
    <s v="profit"/>
  </r>
  <r>
    <s v="45a62a74-5919-4921-bf89-4b964c41a4e5"/>
    <d v="2024-04-30T00:00:00"/>
    <d v="2024-05-04T00:00:00"/>
    <x v="0"/>
    <x v="8"/>
    <s v="Q2"/>
    <n v="4"/>
    <x v="0"/>
    <x v="0"/>
    <x v="1"/>
    <x v="1"/>
    <s v="Paper purpose"/>
    <x v="368"/>
    <n v="3"/>
    <n v="0.35"/>
    <n v="131.85"/>
    <n v="114.57"/>
    <s v="profit"/>
  </r>
  <r>
    <s v="58ba85d2-eda8-47a0-94c2-66885aafc9f2"/>
    <d v="2024-11-11T00:00:00"/>
    <d v="2024-11-14T00:00:00"/>
    <x v="0"/>
    <x v="5"/>
    <s v="Q4"/>
    <n v="3"/>
    <x v="3"/>
    <x v="4"/>
    <x v="2"/>
    <x v="6"/>
    <s v="Laptops evidence"/>
    <x v="369"/>
    <n v="7"/>
    <n v="0.49"/>
    <n v="164.53"/>
    <n v="228.77"/>
    <s v="profit"/>
  </r>
  <r>
    <s v="086b6a8b-023e-408f-92fa-fe8712c6f728"/>
    <d v="2023-07-29T00:00:00"/>
    <d v="2023-07-29T00:00:00"/>
    <x v="0"/>
    <x v="7"/>
    <s v="Q3"/>
    <n v="0"/>
    <x v="3"/>
    <x v="2"/>
    <x v="0"/>
    <x v="7"/>
    <s v="Chairs study"/>
    <x v="370"/>
    <n v="6"/>
    <n v="0.27"/>
    <n v="625.02"/>
    <n v="288.55000000000007"/>
    <s v="profit"/>
  </r>
  <r>
    <s v="fe20fe47-2d13-4770-86e0-7258c2df157a"/>
    <d v="2024-06-16T00:00:00"/>
    <d v="2024-06-16T00:00:00"/>
    <x v="1"/>
    <x v="3"/>
    <s v="Q3"/>
    <n v="0"/>
    <x v="2"/>
    <x v="4"/>
    <x v="2"/>
    <x v="5"/>
    <s v="Phones history"/>
    <x v="371"/>
    <n v="4"/>
    <n v="0.04"/>
    <n v="431.59"/>
    <n v="39.470000000000027"/>
    <s v="profit"/>
  </r>
  <r>
    <s v="b3587456-feb1-4fe2-b696-7701659e043c"/>
    <d v="2024-10-14T00:00:00"/>
    <d v="2024-10-19T00:00:00"/>
    <x v="0"/>
    <x v="4"/>
    <s v="Q4"/>
    <n v="5"/>
    <x v="3"/>
    <x v="6"/>
    <x v="1"/>
    <x v="8"/>
    <s v="Binders sort"/>
    <x v="372"/>
    <n v="2"/>
    <n v="0.39"/>
    <n v="267.79000000000002"/>
    <n v="233.89999999999998"/>
    <s v="profit"/>
  </r>
  <r>
    <s v="502d35eb-5f8d-4777-bfe2-2f08fa919411"/>
    <d v="2024-09-03T00:00:00"/>
    <d v="2024-09-07T00:00:00"/>
    <x v="0"/>
    <x v="11"/>
    <s v="Q4"/>
    <n v="4"/>
    <x v="1"/>
    <x v="7"/>
    <x v="0"/>
    <x v="7"/>
    <s v="Chairs stage"/>
    <x v="373"/>
    <n v="3"/>
    <n v="0.13"/>
    <n v="127.94"/>
    <n v="31.27000000000001"/>
    <s v="profit"/>
  </r>
  <r>
    <s v="0deeea7c-36fe-4323-93b0-6e819ba7ba46"/>
    <d v="2023-01-07T00:00:00"/>
    <d v="2023-01-16T00:00:00"/>
    <x v="0"/>
    <x v="0"/>
    <s v="Q1"/>
    <n v="9"/>
    <x v="2"/>
    <x v="5"/>
    <x v="0"/>
    <x v="0"/>
    <s v="Tables society"/>
    <x v="374"/>
    <n v="8"/>
    <n v="0.42"/>
    <n v="198.83"/>
    <n v="183.19999999999996"/>
    <s v="profit"/>
  </r>
  <r>
    <s v="98b3f2c4-23b0-4175-b8f0-2993338479cb"/>
    <d v="2023-06-04T00:00:00"/>
    <d v="2023-06-08T00:00:00"/>
    <x v="1"/>
    <x v="3"/>
    <s v="Q3"/>
    <n v="4"/>
    <x v="0"/>
    <x v="7"/>
    <x v="2"/>
    <x v="2"/>
    <s v="Accessories same"/>
    <x v="375"/>
    <n v="9"/>
    <n v="0.45"/>
    <n v="144.05000000000001"/>
    <n v="202.56"/>
    <s v="profit"/>
  </r>
  <r>
    <s v="a6b5719d-6af3-4bd5-895c-bb76d7bed58c"/>
    <d v="2023-01-09T00:00:00"/>
    <d v="2023-01-11T00:00:00"/>
    <x v="1"/>
    <x v="0"/>
    <s v="Q1"/>
    <n v="2"/>
    <x v="1"/>
    <x v="3"/>
    <x v="1"/>
    <x v="4"/>
    <s v="Pens him"/>
    <x v="376"/>
    <n v="10"/>
    <n v="0.04"/>
    <n v="214.76"/>
    <n v="50.210000000000036"/>
    <s v="profit"/>
  </r>
  <r>
    <s v="a0e593b5-d7e7-4b47-aded-bca13ea39799"/>
    <d v="2024-02-15T00:00:00"/>
    <d v="2024-02-15T00:00:00"/>
    <x v="1"/>
    <x v="6"/>
    <s v="Q1"/>
    <n v="0"/>
    <x v="0"/>
    <x v="2"/>
    <x v="0"/>
    <x v="7"/>
    <s v="Chairs investment"/>
    <x v="377"/>
    <n v="2"/>
    <n v="0.17"/>
    <n v="563.39"/>
    <n v="130.80000000000007"/>
    <s v="profit"/>
  </r>
  <r>
    <s v="48e0296c-95a0-40bb-a20f-42b203c626cd"/>
    <d v="2024-08-24T00:00:00"/>
    <d v="2024-08-26T00:00:00"/>
    <x v="0"/>
    <x v="2"/>
    <s v="Q3"/>
    <n v="2"/>
    <x v="1"/>
    <x v="6"/>
    <x v="0"/>
    <x v="7"/>
    <s v="Chairs soon"/>
    <x v="378"/>
    <n v="7"/>
    <n v="0.18"/>
    <n v="538.48"/>
    <n v="172.89"/>
    <s v="profit"/>
  </r>
  <r>
    <s v="c1cf54af-7089-45d1-8dd1-aac9e5c693f6"/>
    <d v="2023-05-20T00:00:00"/>
    <d v="2023-05-27T00:00:00"/>
    <x v="0"/>
    <x v="8"/>
    <s v="Q2"/>
    <n v="7"/>
    <x v="2"/>
    <x v="4"/>
    <x v="1"/>
    <x v="4"/>
    <s v="Pens choose"/>
    <x v="379"/>
    <n v="1"/>
    <n v="0.35"/>
    <n v="502.17"/>
    <n v="340.50999999999993"/>
    <s v="profit"/>
  </r>
  <r>
    <s v="fb6170f4-490e-4b0e-b0fa-a789daa16c12"/>
    <d v="2023-02-18T00:00:00"/>
    <d v="2023-02-26T00:00:00"/>
    <x v="1"/>
    <x v="6"/>
    <s v="Q1"/>
    <n v="8"/>
    <x v="2"/>
    <x v="0"/>
    <x v="1"/>
    <x v="4"/>
    <s v="Pens full"/>
    <x v="380"/>
    <n v="10"/>
    <n v="0.09"/>
    <n v="303.85000000000002"/>
    <n v="78.95999999999998"/>
    <s v="profit"/>
  </r>
  <r>
    <s v="3090ac75-8565-488f-b4d4-b97605bc7e83"/>
    <d v="2022-12-14T00:00:00"/>
    <d v="2022-12-21T00:00:00"/>
    <x v="1"/>
    <x v="9"/>
    <s v="Q4"/>
    <n v="7"/>
    <x v="0"/>
    <x v="0"/>
    <x v="0"/>
    <x v="0"/>
    <s v="Tables describe"/>
    <x v="381"/>
    <n v="3"/>
    <n v="0.38"/>
    <n v="79.13"/>
    <n v="98.700000000000017"/>
    <s v="profit"/>
  </r>
  <r>
    <s v="2b4f4409-6ffa-45a4-b6e1-c95425ab07bd"/>
    <d v="2024-01-06T00:00:00"/>
    <d v="2024-01-12T00:00:00"/>
    <x v="3"/>
    <x v="0"/>
    <s v="Q1"/>
    <n v="6"/>
    <x v="1"/>
    <x v="2"/>
    <x v="2"/>
    <x v="5"/>
    <s v="Phones building"/>
    <x v="382"/>
    <n v="5"/>
    <n v="0.28000000000000003"/>
    <n v="580.95000000000005"/>
    <n v="272.04999999999995"/>
    <s v="profit"/>
  </r>
  <r>
    <s v="04a32ab3-23d0-4cd9-a099-3c48d3cf52d2"/>
    <d v="2024-05-27T00:00:00"/>
    <d v="2024-06-03T00:00:00"/>
    <x v="0"/>
    <x v="3"/>
    <s v="Q3"/>
    <n v="7"/>
    <x v="2"/>
    <x v="6"/>
    <x v="2"/>
    <x v="5"/>
    <s v="Phones sing"/>
    <x v="383"/>
    <n v="9"/>
    <n v="0.04"/>
    <n v="271.01"/>
    <n v="46.29000000000002"/>
    <s v="profit"/>
  </r>
  <r>
    <s v="ec7fcd8f-1a08-4f5d-ba86-63fa5efcb26a"/>
    <d v="2024-04-02T00:00:00"/>
    <d v="2024-04-07T00:00:00"/>
    <x v="0"/>
    <x v="1"/>
    <s v="Q2"/>
    <n v="5"/>
    <x v="0"/>
    <x v="2"/>
    <x v="2"/>
    <x v="6"/>
    <s v="Laptops magazine"/>
    <x v="384"/>
    <n v="1"/>
    <n v="0.31"/>
    <n v="6.06"/>
    <n v="23.3"/>
    <s v="profit"/>
  </r>
  <r>
    <s v="bfda04e6-ffdf-461a-be41-e16b8deaed6a"/>
    <d v="2024-08-23T00:00:00"/>
    <d v="2024-08-26T00:00:00"/>
    <x v="0"/>
    <x v="2"/>
    <s v="Q3"/>
    <n v="3"/>
    <x v="0"/>
    <x v="0"/>
    <x v="0"/>
    <x v="0"/>
    <s v="Tables specific"/>
    <x v="385"/>
    <n v="6"/>
    <n v="0.32"/>
    <n v="331.98"/>
    <n v="192.12"/>
    <s v="profit"/>
  </r>
  <r>
    <s v="a4b32860-3f7c-4f57-92b0-ae13be722afc"/>
    <d v="2024-03-25T00:00:00"/>
    <d v="2024-03-27T00:00:00"/>
    <x v="0"/>
    <x v="10"/>
    <s v="Q2"/>
    <n v="2"/>
    <x v="1"/>
    <x v="2"/>
    <x v="1"/>
    <x v="8"/>
    <s v="Binders out"/>
    <x v="386"/>
    <n v="7"/>
    <n v="0.16"/>
    <n v="22.68"/>
    <n v="27.86"/>
    <s v="profit"/>
  </r>
  <r>
    <s v="431fcd43-eb2a-4c2c-8336-14f862fffca3"/>
    <d v="2023-01-17T00:00:00"/>
    <d v="2023-01-26T00:00:00"/>
    <x v="0"/>
    <x v="0"/>
    <s v="Q1"/>
    <n v="9"/>
    <x v="3"/>
    <x v="1"/>
    <x v="2"/>
    <x v="2"/>
    <s v="Accessories year"/>
    <x v="387"/>
    <n v="6"/>
    <n v="0.38"/>
    <n v="224.4"/>
    <n v="201.29"/>
    <s v="profit"/>
  </r>
  <r>
    <s v="0dc3c6c4-7618-4884-ba84-9d8cb21bec0c"/>
    <d v="2023-08-31T00:00:00"/>
    <d v="2023-09-07T00:00:00"/>
    <x v="1"/>
    <x v="11"/>
    <s v="Q4"/>
    <n v="7"/>
    <x v="0"/>
    <x v="0"/>
    <x v="2"/>
    <x v="2"/>
    <s v="Accessories modern"/>
    <x v="388"/>
    <n v="6"/>
    <n v="0.22"/>
    <n v="581.30999999999995"/>
    <n v="200.61"/>
    <s v="profit"/>
  </r>
  <r>
    <s v="8ce94754-5aec-4ee0-a1c0-eb5f6e9db126"/>
    <d v="2024-04-23T00:00:00"/>
    <d v="2024-04-30T00:00:00"/>
    <x v="1"/>
    <x v="1"/>
    <s v="Q2"/>
    <n v="7"/>
    <x v="3"/>
    <x v="3"/>
    <x v="0"/>
    <x v="7"/>
    <s v="Chairs necessary"/>
    <x v="389"/>
    <n v="10"/>
    <n v="0.43"/>
    <n v="247.19"/>
    <n v="247.38"/>
    <s v="profit"/>
  </r>
  <r>
    <s v="9cbf9b63-216b-402d-b491-ea69705333ec"/>
    <d v="2024-04-21T00:00:00"/>
    <d v="2024-04-30T00:00:00"/>
    <x v="0"/>
    <x v="1"/>
    <s v="Q2"/>
    <n v="9"/>
    <x v="1"/>
    <x v="5"/>
    <x v="1"/>
    <x v="1"/>
    <s v="Paper fire"/>
    <x v="390"/>
    <n v="1"/>
    <n v="0.39"/>
    <n v="150.43"/>
    <n v="126.05000000000001"/>
    <s v="profit"/>
  </r>
  <r>
    <s v="0f510f70-0f8a-488d-94d9-08e9281fd67e"/>
    <d v="2024-01-14T00:00:00"/>
    <d v="2024-01-21T00:00:00"/>
    <x v="0"/>
    <x v="0"/>
    <s v="Q1"/>
    <n v="7"/>
    <x v="1"/>
    <x v="2"/>
    <x v="1"/>
    <x v="1"/>
    <s v="Paper describe"/>
    <x v="391"/>
    <n v="1"/>
    <n v="0.02"/>
    <n v="370.52"/>
    <n v="57.870000000000005"/>
    <s v="profit"/>
  </r>
  <r>
    <s v="72ed0052-c3e0-4e77-a364-4e3b7cff7333"/>
    <d v="2024-10-17T00:00:00"/>
    <d v="2024-10-22T00:00:00"/>
    <x v="0"/>
    <x v="4"/>
    <s v="Q4"/>
    <n v="5"/>
    <x v="0"/>
    <x v="6"/>
    <x v="1"/>
    <x v="4"/>
    <s v="Pens traditional"/>
    <x v="392"/>
    <n v="4"/>
    <n v="0.18"/>
    <n v="674.09"/>
    <n v="169.69999999999993"/>
    <s v="profit"/>
  </r>
  <r>
    <s v="9f0cb218-7215-4be7-9e23-89f1a3b4b29b"/>
    <d v="2024-08-14T00:00:00"/>
    <d v="2024-08-15T00:00:00"/>
    <x v="0"/>
    <x v="2"/>
    <s v="Q3"/>
    <n v="1"/>
    <x v="1"/>
    <x v="4"/>
    <x v="2"/>
    <x v="6"/>
    <s v="Laptops build"/>
    <x v="393"/>
    <n v="3"/>
    <n v="0.32"/>
    <n v="-23.95"/>
    <n v="57.92"/>
    <s v="loss"/>
  </r>
  <r>
    <s v="e121fdb4-6e32-4ee7-864f-be5a6cfdae6f"/>
    <d v="2023-02-02T00:00:00"/>
    <d v="2023-02-07T00:00:00"/>
    <x v="0"/>
    <x v="6"/>
    <s v="Q1"/>
    <n v="5"/>
    <x v="3"/>
    <x v="1"/>
    <x v="0"/>
    <x v="3"/>
    <s v="Bookcases try"/>
    <x v="394"/>
    <n v="5"/>
    <n v="0.15"/>
    <n v="79.849999999999994"/>
    <n v="64.110000000000014"/>
    <s v="profit"/>
  </r>
  <r>
    <s v="eb1b9fda-8157-4b63-8d26-f49ba1975d1a"/>
    <d v="2024-10-19T00:00:00"/>
    <d v="2024-10-20T00:00:00"/>
    <x v="1"/>
    <x v="4"/>
    <s v="Q4"/>
    <n v="1"/>
    <x v="2"/>
    <x v="5"/>
    <x v="1"/>
    <x v="4"/>
    <s v="Pens floor"/>
    <x v="395"/>
    <n v="10"/>
    <n v="0.38"/>
    <n v="343.29"/>
    <n v="251.48999999999995"/>
    <s v="profit"/>
  </r>
  <r>
    <s v="18d15162-0fd3-434f-9ef4-28995f9fafaf"/>
    <d v="2024-09-21T00:00:00"/>
    <d v="2024-09-23T00:00:00"/>
    <x v="0"/>
    <x v="11"/>
    <s v="Q4"/>
    <n v="2"/>
    <x v="1"/>
    <x v="6"/>
    <x v="2"/>
    <x v="6"/>
    <s v="Laptops music"/>
    <x v="396"/>
    <n v="9"/>
    <n v="0.33"/>
    <n v="293.5"/>
    <n v="163.93"/>
    <s v="profit"/>
  </r>
  <r>
    <s v="ac2f9e77-9b35-43f1-b0aa-e94b4fbe9e69"/>
    <d v="2023-05-22T00:00:00"/>
    <d v="2023-05-26T00:00:00"/>
    <x v="0"/>
    <x v="8"/>
    <s v="Q2"/>
    <n v="4"/>
    <x v="1"/>
    <x v="0"/>
    <x v="2"/>
    <x v="6"/>
    <s v="Laptops without"/>
    <x v="397"/>
    <n v="2"/>
    <n v="0.25"/>
    <n v="609.88"/>
    <n v="239.38"/>
    <s v="profit"/>
  </r>
  <r>
    <s v="a611e315-4f26-47f4-b13e-40ca56df2009"/>
    <d v="2023-12-17T00:00:00"/>
    <d v="2023-12-21T00:00:00"/>
    <x v="1"/>
    <x v="9"/>
    <s v="Q4"/>
    <n v="4"/>
    <x v="2"/>
    <x v="0"/>
    <x v="2"/>
    <x v="6"/>
    <s v="Laptops information"/>
    <x v="398"/>
    <n v="8"/>
    <n v="0.09"/>
    <n v="313.89999999999998"/>
    <n v="78.640000000000043"/>
    <s v="profit"/>
  </r>
  <r>
    <s v="4ae6a752-9a45-4b5d-96c5-d091e9117428"/>
    <d v="2024-03-06T00:00:00"/>
    <d v="2024-03-14T00:00:00"/>
    <x v="1"/>
    <x v="10"/>
    <s v="Q2"/>
    <n v="8"/>
    <x v="0"/>
    <x v="2"/>
    <x v="0"/>
    <x v="3"/>
    <s v="Bookcases cost"/>
    <x v="399"/>
    <n v="10"/>
    <n v="0.13"/>
    <n v="259.02999999999997"/>
    <n v="50.670000000000016"/>
    <s v="profit"/>
  </r>
  <r>
    <s v="69d00349-d76b-4c62-a1ec-f5600dc7b1a1"/>
    <d v="2024-08-29T00:00:00"/>
    <d v="2024-09-01T00:00:00"/>
    <x v="0"/>
    <x v="11"/>
    <s v="Q4"/>
    <n v="3"/>
    <x v="3"/>
    <x v="4"/>
    <x v="1"/>
    <x v="4"/>
    <s v="Pens rest"/>
    <x v="400"/>
    <n v="2"/>
    <n v="0.03"/>
    <n v="793.35"/>
    <n v="73.87"/>
    <s v="profit"/>
  </r>
  <r>
    <s v="d7a189fc-e951-4bbd-af3d-481be9c9df85"/>
    <d v="2024-05-16T00:00:00"/>
    <d v="2024-05-22T00:00:00"/>
    <x v="0"/>
    <x v="8"/>
    <s v="Q2"/>
    <n v="6"/>
    <x v="1"/>
    <x v="1"/>
    <x v="1"/>
    <x v="1"/>
    <s v="Paper art"/>
    <x v="401"/>
    <n v="10"/>
    <n v="0.09"/>
    <n v="193.61"/>
    <n v="42.91"/>
    <s v="profit"/>
  </r>
  <r>
    <s v="c5153436-c8db-4471-a34d-203f6e089ae5"/>
    <d v="2023-06-12T00:00:00"/>
    <d v="2023-06-21T00:00:00"/>
    <x v="0"/>
    <x v="3"/>
    <s v="Q3"/>
    <n v="9"/>
    <x v="3"/>
    <x v="2"/>
    <x v="0"/>
    <x v="7"/>
    <s v="Chairs travel"/>
    <x v="402"/>
    <n v="5"/>
    <n v="0.32"/>
    <n v="330.54"/>
    <n v="176.02999999999997"/>
    <s v="profit"/>
  </r>
  <r>
    <s v="96c363e3-6d0a-47c5-8f90-6ad6bfc1e735"/>
    <d v="2024-07-11T00:00:00"/>
    <d v="2024-07-18T00:00:00"/>
    <x v="1"/>
    <x v="7"/>
    <s v="Q3"/>
    <n v="7"/>
    <x v="3"/>
    <x v="5"/>
    <x v="1"/>
    <x v="1"/>
    <s v="Paper statement"/>
    <x v="403"/>
    <n v="4"/>
    <n v="0.27"/>
    <n v="506.59"/>
    <n v="242.08999999999997"/>
    <s v="profit"/>
  </r>
  <r>
    <s v="579a9cda-85d3-4fd8-ad17-91d3f93934e0"/>
    <d v="2024-10-09T00:00:00"/>
    <d v="2024-10-16T00:00:00"/>
    <x v="0"/>
    <x v="4"/>
    <s v="Q4"/>
    <n v="7"/>
    <x v="1"/>
    <x v="2"/>
    <x v="0"/>
    <x v="0"/>
    <s v="Tables pay"/>
    <x v="404"/>
    <n v="6"/>
    <n v="0.38"/>
    <n v="254.47"/>
    <n v="189.38000000000002"/>
    <s v="profit"/>
  </r>
  <r>
    <s v="38f169d3-a33c-4a7d-8c6d-cd2fb172c461"/>
    <d v="2023-08-16T00:00:00"/>
    <d v="2023-08-17T00:00:00"/>
    <x v="0"/>
    <x v="2"/>
    <s v="Q3"/>
    <n v="1"/>
    <x v="3"/>
    <x v="0"/>
    <x v="1"/>
    <x v="4"/>
    <s v="Pens suggest"/>
    <x v="405"/>
    <n v="8"/>
    <n v="0.4"/>
    <n v="150.99"/>
    <n v="148.25"/>
    <s v="profit"/>
  </r>
  <r>
    <s v="c27b50fa-1e36-41a4-a9c5-62551dd0e2e1"/>
    <d v="2024-07-07T00:00:00"/>
    <d v="2024-07-16T00:00:00"/>
    <x v="1"/>
    <x v="7"/>
    <s v="Q3"/>
    <n v="9"/>
    <x v="2"/>
    <x v="0"/>
    <x v="2"/>
    <x v="5"/>
    <s v="Phones piece"/>
    <x v="406"/>
    <n v="2"/>
    <n v="0.36"/>
    <n v="329.97"/>
    <n v="252.76999999999998"/>
    <s v="profit"/>
  </r>
  <r>
    <s v="7871dbde-07bf-4c92-a284-c4b84345d32f"/>
    <d v="2023-09-20T00:00:00"/>
    <d v="2023-09-29T00:00:00"/>
    <x v="0"/>
    <x v="11"/>
    <s v="Q4"/>
    <n v="9"/>
    <x v="1"/>
    <x v="0"/>
    <x v="1"/>
    <x v="8"/>
    <s v="Binders treatment"/>
    <x v="407"/>
    <n v="2"/>
    <n v="0.5"/>
    <n v="126.21"/>
    <n v="182.91000000000003"/>
    <s v="profit"/>
  </r>
  <r>
    <s v="55023f5f-f35d-4108-931b-d047b403c4a9"/>
    <d v="2024-07-03T00:00:00"/>
    <d v="2024-07-09T00:00:00"/>
    <x v="1"/>
    <x v="7"/>
    <s v="Q3"/>
    <n v="6"/>
    <x v="3"/>
    <x v="7"/>
    <x v="1"/>
    <x v="1"/>
    <s v="Paper leader"/>
    <x v="408"/>
    <n v="3"/>
    <n v="0.2"/>
    <n v="480.51"/>
    <n v="166.76999999999998"/>
    <s v="profit"/>
  </r>
  <r>
    <s v="4b1b9665-7a4c-41e2-b3b8-2ef5bf2f935d"/>
    <d v="2023-02-05T00:00:00"/>
    <d v="2023-02-09T00:00:00"/>
    <x v="0"/>
    <x v="6"/>
    <s v="Q1"/>
    <n v="4"/>
    <x v="2"/>
    <x v="4"/>
    <x v="2"/>
    <x v="5"/>
    <s v="Phones six"/>
    <x v="409"/>
    <n v="8"/>
    <n v="0.39"/>
    <n v="280.3"/>
    <n v="253.20999999999998"/>
    <s v="profit"/>
  </r>
  <r>
    <s v="537aada3-ff64-40b4-9030-e128dc779c7a"/>
    <d v="2023-11-25T00:00:00"/>
    <d v="2023-12-01T00:00:00"/>
    <x v="1"/>
    <x v="9"/>
    <s v="Q4"/>
    <n v="6"/>
    <x v="3"/>
    <x v="3"/>
    <x v="2"/>
    <x v="6"/>
    <s v="Laptops reflect"/>
    <x v="410"/>
    <n v="7"/>
    <n v="0.35"/>
    <n v="23.97"/>
    <n v="42.2"/>
    <s v="profit"/>
  </r>
  <r>
    <s v="4d7fad7a-ce5b-44ff-8db2-bbecbe454a10"/>
    <d v="2024-08-19T00:00:00"/>
    <d v="2024-08-22T00:00:00"/>
    <x v="1"/>
    <x v="2"/>
    <s v="Q3"/>
    <n v="3"/>
    <x v="3"/>
    <x v="2"/>
    <x v="1"/>
    <x v="1"/>
    <s v="Paper race"/>
    <x v="411"/>
    <n v="8"/>
    <n v="0.06"/>
    <n v="69.89"/>
    <n v="19.489999999999995"/>
    <s v="profit"/>
  </r>
  <r>
    <s v="2e5546e6-401f-4e2e-973e-1a62ef6d130c"/>
    <d v="2024-03-05T00:00:00"/>
    <d v="2024-03-13T00:00:00"/>
    <x v="0"/>
    <x v="10"/>
    <s v="Q2"/>
    <n v="8"/>
    <x v="3"/>
    <x v="0"/>
    <x v="0"/>
    <x v="3"/>
    <s v="Bookcases public"/>
    <x v="412"/>
    <n v="3"/>
    <n v="0.1"/>
    <n v="330.62"/>
    <n v="84.659999999999968"/>
    <s v="profit"/>
  </r>
  <r>
    <s v="9456aecb-d964-4a87-b3c6-e909afccc4ec"/>
    <d v="2024-08-22T00:00:00"/>
    <d v="2024-08-29T00:00:00"/>
    <x v="0"/>
    <x v="2"/>
    <s v="Q3"/>
    <n v="7"/>
    <x v="1"/>
    <x v="0"/>
    <x v="0"/>
    <x v="3"/>
    <s v="Bookcases build"/>
    <x v="413"/>
    <n v="6"/>
    <n v="0.01"/>
    <n v="329.61"/>
    <n v="19.079999999999984"/>
    <s v="profit"/>
  </r>
  <r>
    <s v="8fd47c9a-90d8-4651-bfad-286bdf6562cf"/>
    <d v="2024-05-20T00:00:00"/>
    <d v="2024-05-21T00:00:00"/>
    <x v="0"/>
    <x v="8"/>
    <s v="Q2"/>
    <n v="1"/>
    <x v="2"/>
    <x v="1"/>
    <x v="0"/>
    <x v="3"/>
    <s v="Bookcases south"/>
    <x v="414"/>
    <n v="7"/>
    <n v="0.4"/>
    <n v="356.31"/>
    <n v="268.63000000000005"/>
    <s v="profit"/>
  </r>
  <r>
    <s v="cff9bb16-8f45-451f-8fe7-fd0c8f044158"/>
    <d v="2023-01-13T00:00:00"/>
    <d v="2023-01-19T00:00:00"/>
    <x v="0"/>
    <x v="0"/>
    <s v="Q1"/>
    <n v="6"/>
    <x v="2"/>
    <x v="7"/>
    <x v="0"/>
    <x v="3"/>
    <s v="Bookcases least"/>
    <x v="63"/>
    <n v="5"/>
    <n v="0.4"/>
    <n v="129.84"/>
    <n v="121.21000000000001"/>
    <s v="profit"/>
  </r>
  <r>
    <s v="b41a3d0d-0f3b-44a6-9951-573f03e0906f"/>
    <d v="2023-12-03T00:00:00"/>
    <d v="2023-12-05T00:00:00"/>
    <x v="1"/>
    <x v="9"/>
    <s v="Q4"/>
    <n v="2"/>
    <x v="1"/>
    <x v="5"/>
    <x v="0"/>
    <x v="3"/>
    <s v="Bookcases commercial"/>
    <x v="415"/>
    <n v="4"/>
    <n v="0.33"/>
    <n v="22.75"/>
    <n v="34.26"/>
    <s v="profit"/>
  </r>
  <r>
    <s v="8169aeca-f264-454b-85f2-4b469b28acdd"/>
    <d v="2024-03-14T00:00:00"/>
    <d v="2024-03-17T00:00:00"/>
    <x v="1"/>
    <x v="10"/>
    <s v="Q2"/>
    <n v="3"/>
    <x v="2"/>
    <x v="4"/>
    <x v="2"/>
    <x v="5"/>
    <s v="Phones some"/>
    <x v="416"/>
    <n v="6"/>
    <n v="0.44"/>
    <n v="345.2"/>
    <n v="310.8"/>
    <s v="profit"/>
  </r>
  <r>
    <s v="3b8f4f51-021e-456f-8d41-b409ee09fbb7"/>
    <d v="2023-03-23T00:00:00"/>
    <d v="2023-03-28T00:00:00"/>
    <x v="0"/>
    <x v="10"/>
    <s v="Q2"/>
    <n v="5"/>
    <x v="1"/>
    <x v="3"/>
    <x v="2"/>
    <x v="5"/>
    <s v="Phones suffer"/>
    <x v="417"/>
    <n v="6"/>
    <n v="0.44"/>
    <n v="470.26"/>
    <n v="422.99"/>
    <s v="profit"/>
  </r>
  <r>
    <s v="2e0a8dd3-d92a-4b08-b38a-0096cf1ae4eb"/>
    <d v="2023-01-29T00:00:00"/>
    <d v="2023-02-02T00:00:00"/>
    <x v="1"/>
    <x v="6"/>
    <s v="Q1"/>
    <n v="4"/>
    <x v="1"/>
    <x v="4"/>
    <x v="1"/>
    <x v="1"/>
    <s v="Paper city"/>
    <x v="418"/>
    <n v="8"/>
    <n v="0.28000000000000003"/>
    <n v="189.05"/>
    <n v="88.37"/>
    <s v="profit"/>
  </r>
  <r>
    <s v="6d373218-bcd9-4613-bfb6-15538a1505c6"/>
    <m/>
    <d v="2024-09-11T00:00:00"/>
    <x v="1"/>
    <x v="11"/>
    <s v="Q4"/>
    <n v="45546"/>
    <x v="4"/>
    <x v="4"/>
    <x v="0"/>
    <x v="7"/>
    <s v="Chairs ahead"/>
    <x v="59"/>
    <n v="6"/>
    <n v="0.18"/>
    <n v="57.11"/>
    <e v="#VALUE!"/>
    <s v="profit"/>
  </r>
  <r>
    <s v="4bcce884-2419-43b1-9430-1f075d927999"/>
    <d v="2024-09-21T00:00:00"/>
    <d v="2024-09-30T00:00:00"/>
    <x v="2"/>
    <x v="11"/>
    <s v="Q4"/>
    <n v="9"/>
    <x v="3"/>
    <x v="0"/>
    <x v="0"/>
    <x v="7"/>
    <s v="Chairs inside"/>
    <x v="419"/>
    <n v="5"/>
    <n v="0.18"/>
    <n v="280.35000000000002"/>
    <n v="75.479999999999961"/>
    <s v="profit"/>
  </r>
  <r>
    <s v="c2db0390-6d90-4ca7-9196-9ad08c2075db"/>
    <d v="2023-04-01T00:00:00"/>
    <d v="2023-04-07T00:00:00"/>
    <x v="0"/>
    <x v="1"/>
    <s v="Q2"/>
    <n v="6"/>
    <x v="2"/>
    <x v="1"/>
    <x v="1"/>
    <x v="1"/>
    <s v="Paper something"/>
    <x v="420"/>
    <n v="4"/>
    <n v="0.31"/>
    <n v="93.99"/>
    <n v="86.58"/>
    <s v="profit"/>
  </r>
  <r>
    <s v="3686f844-1386-405c-9444-6336839afd26"/>
    <d v="2024-09-05T00:00:00"/>
    <d v="2024-09-10T00:00:00"/>
    <x v="1"/>
    <x v="11"/>
    <s v="Q4"/>
    <n v="5"/>
    <x v="1"/>
    <x v="1"/>
    <x v="0"/>
    <x v="0"/>
    <s v="Tables size"/>
    <x v="421"/>
    <n v="5"/>
    <n v="0.37"/>
    <n v="162.38"/>
    <n v="150.48000000000002"/>
    <s v="profit"/>
  </r>
  <r>
    <s v="99166bb5-8fd7-4329-9b08-ad2dc0f37933"/>
    <d v="2023-05-05T00:00:00"/>
    <d v="2023-05-11T00:00:00"/>
    <x v="0"/>
    <x v="8"/>
    <s v="Q2"/>
    <n v="6"/>
    <x v="3"/>
    <x v="3"/>
    <x v="2"/>
    <x v="2"/>
    <s v="Accessories opportunity"/>
    <x v="422"/>
    <n v="1"/>
    <n v="0.43"/>
    <n v="52.26"/>
    <n v="99.47"/>
    <s v="profit"/>
  </r>
  <r>
    <s v="40be7d7a-c3d9-4b1e-a35e-7d71a9d64519"/>
    <d v="2023-04-10T00:00:00"/>
    <d v="2023-04-11T00:00:00"/>
    <x v="1"/>
    <x v="1"/>
    <s v="Q2"/>
    <n v="1"/>
    <x v="2"/>
    <x v="1"/>
    <x v="2"/>
    <x v="6"/>
    <s v="Laptops in"/>
    <x v="423"/>
    <n v="5"/>
    <n v="0.17"/>
    <n v="383.24"/>
    <n v="101.26999999999998"/>
    <s v="profit"/>
  </r>
  <r>
    <s v="6465ce87-4899-4dea-ae3a-3b94d51f2b4a"/>
    <d v="2024-10-15T00:00:00"/>
    <d v="2024-10-19T00:00:00"/>
    <x v="1"/>
    <x v="4"/>
    <s v="Q4"/>
    <n v="4"/>
    <x v="2"/>
    <x v="0"/>
    <x v="0"/>
    <x v="3"/>
    <s v="Bookcases gas"/>
    <x v="424"/>
    <n v="6"/>
    <n v="0.41"/>
    <n v="278.57"/>
    <n v="230.95999999999998"/>
    <s v="profit"/>
  </r>
  <r>
    <s v="2c1c3298-a04f-4bc5-9294-dad0faa29a37"/>
    <d v="2023-01-16T00:00:00"/>
    <d v="2023-01-17T00:00:00"/>
    <x v="0"/>
    <x v="0"/>
    <s v="Q1"/>
    <n v="1"/>
    <x v="2"/>
    <x v="7"/>
    <x v="1"/>
    <x v="4"/>
    <s v="Pens bad"/>
    <x v="425"/>
    <n v="3"/>
    <n v="0.1"/>
    <n v="545.64"/>
    <n v="102.35000000000002"/>
    <s v="profit"/>
  </r>
  <r>
    <s v="b21c9fc9-958d-4ddf-9813-a320566046c9"/>
    <d v="2024-01-29T00:00:00"/>
    <d v="2024-02-03T00:00:00"/>
    <x v="1"/>
    <x v="6"/>
    <s v="Q1"/>
    <n v="5"/>
    <x v="3"/>
    <x v="1"/>
    <x v="1"/>
    <x v="1"/>
    <s v="Paper letter"/>
    <x v="426"/>
    <n v="8"/>
    <n v="0.41"/>
    <n v="358.64"/>
    <n v="333.07000000000005"/>
    <s v="profit"/>
  </r>
  <r>
    <s v="d3afbc22-7e49-45e1-96cf-0b1516dbfd85"/>
    <d v="2023-06-23T00:00:00"/>
    <d v="2023-06-29T00:00:00"/>
    <x v="0"/>
    <x v="3"/>
    <s v="Q3"/>
    <n v="6"/>
    <x v="3"/>
    <x v="2"/>
    <x v="0"/>
    <x v="0"/>
    <s v="Tables rock"/>
    <x v="427"/>
    <n v="1"/>
    <n v="0.13"/>
    <n v="517.91"/>
    <n v="93.460000000000036"/>
    <s v="profit"/>
  </r>
  <r>
    <s v="c620d3bd-6658-48bd-942f-676211fdf648"/>
    <d v="2022-12-19T00:00:00"/>
    <d v="2022-12-19T00:00:00"/>
    <x v="1"/>
    <x v="9"/>
    <s v="Q4"/>
    <n v="0"/>
    <x v="2"/>
    <x v="4"/>
    <x v="2"/>
    <x v="5"/>
    <s v="Phones financial"/>
    <x v="411"/>
    <n v="7"/>
    <n v="0.3"/>
    <n v="50.14"/>
    <n v="39.239999999999995"/>
    <s v="profit"/>
  </r>
  <r>
    <s v="0c17068d-4d39-4167-bbd3-9edccc9ae208"/>
    <d v="2023-05-29T00:00:00"/>
    <d v="2023-06-04T00:00:00"/>
    <x v="3"/>
    <x v="3"/>
    <s v="Q3"/>
    <n v="6"/>
    <x v="0"/>
    <x v="4"/>
    <x v="1"/>
    <x v="8"/>
    <s v="Binders cell"/>
    <x v="428"/>
    <n v="4"/>
    <n v="0.46"/>
    <n v="32.200000000000003"/>
    <n v="100.05999999999999"/>
    <s v="profit"/>
  </r>
  <r>
    <s v="25224874-70ca-45da-a430-ebc1689e0223"/>
    <d v="2024-11-05T00:00:00"/>
    <d v="2024-11-05T00:00:00"/>
    <x v="1"/>
    <x v="5"/>
    <s v="Q4"/>
    <n v="0"/>
    <x v="0"/>
    <x v="6"/>
    <x v="2"/>
    <x v="6"/>
    <s v="Laptops beyond"/>
    <x v="429"/>
    <n v="5"/>
    <n v="0.19"/>
    <n v="374.67"/>
    <n v="138.70999999999998"/>
    <s v="profit"/>
  </r>
  <r>
    <s v="e18be463-3e7f-4e08-8ea7-8b7dcb1c8776"/>
    <d v="2024-11-09T00:00:00"/>
    <d v="2024-11-14T00:00:00"/>
    <x v="0"/>
    <x v="5"/>
    <s v="Q4"/>
    <n v="5"/>
    <x v="0"/>
    <x v="4"/>
    <x v="0"/>
    <x v="7"/>
    <s v="Chairs whether"/>
    <x v="430"/>
    <n v="10"/>
    <n v="0.27"/>
    <n v="624.19000000000005"/>
    <n v="277.15999999999997"/>
    <s v="profit"/>
  </r>
  <r>
    <s v="22d1913e-69db-4fe5-bc83-dfe850d0638b"/>
    <d v="2024-09-19T00:00:00"/>
    <d v="2024-09-27T00:00:00"/>
    <x v="0"/>
    <x v="11"/>
    <s v="Q4"/>
    <n v="8"/>
    <x v="2"/>
    <x v="5"/>
    <x v="1"/>
    <x v="1"/>
    <s v="Paper under"/>
    <x v="431"/>
    <n v="9"/>
    <n v="0.27"/>
    <n v="568.07000000000005"/>
    <n v="269.38"/>
    <s v="profit"/>
  </r>
  <r>
    <s v="578777ff-063f-4ee3-b987-2e7ff0f79f92"/>
    <d v="2023-02-06T00:00:00"/>
    <d v="2023-02-13T00:00:00"/>
    <x v="0"/>
    <x v="6"/>
    <s v="Q1"/>
    <n v="7"/>
    <x v="3"/>
    <x v="1"/>
    <x v="2"/>
    <x v="6"/>
    <s v="Laptops whose"/>
    <x v="432"/>
    <n v="2"/>
    <n v="0.43"/>
    <n v="463.23"/>
    <n v="389.42999999999995"/>
    <s v="profit"/>
  </r>
  <r>
    <s v="d3f66c3f-7558-4c5f-bc54-7b02a654391e"/>
    <d v="2023-03-25T00:00:00"/>
    <d v="2023-04-02T00:00:00"/>
    <x v="1"/>
    <x v="1"/>
    <s v="Q2"/>
    <n v="8"/>
    <x v="0"/>
    <x v="4"/>
    <x v="1"/>
    <x v="1"/>
    <s v="Paper hit"/>
    <x v="433"/>
    <n v="2"/>
    <n v="0.11"/>
    <n v="62.45"/>
    <n v="24.409999999999997"/>
    <s v="profit"/>
  </r>
  <r>
    <s v="a9a6c38f-d7d8-4fd5-8eda-327ee630e31c"/>
    <d v="2024-07-24T00:00:00"/>
    <d v="2024-07-29T00:00:00"/>
    <x v="1"/>
    <x v="7"/>
    <s v="Q3"/>
    <n v="5"/>
    <x v="2"/>
    <x v="1"/>
    <x v="0"/>
    <x v="0"/>
    <s v="Tables yeah"/>
    <x v="434"/>
    <n v="7"/>
    <n v="0.15"/>
    <n v="703.46"/>
    <n v="154.62"/>
    <s v="profit"/>
  </r>
  <r>
    <s v="03282f3c-8449-41ea-9533-2610dca76ca7"/>
    <d v="2024-04-24T00:00:00"/>
    <d v="2024-04-29T00:00:00"/>
    <x v="0"/>
    <x v="1"/>
    <s v="Q2"/>
    <n v="5"/>
    <x v="3"/>
    <x v="7"/>
    <x v="2"/>
    <x v="6"/>
    <s v="Laptops front"/>
    <x v="435"/>
    <n v="5"/>
    <n v="0.31"/>
    <n v="660.37"/>
    <n v="339.03999999999996"/>
    <s v="profit"/>
  </r>
  <r>
    <s v="0f2ddf6d-322e-44ec-9f69-57e1595e9bc2"/>
    <d v="2024-10-21T00:00:00"/>
    <d v="2024-10-23T00:00:00"/>
    <x v="0"/>
    <x v="4"/>
    <s v="Q4"/>
    <n v="2"/>
    <x v="2"/>
    <x v="2"/>
    <x v="2"/>
    <x v="6"/>
    <s v="Laptops score"/>
    <x v="436"/>
    <n v="1"/>
    <n v="0.38"/>
    <n v="90.38"/>
    <n v="123.92000000000002"/>
    <s v="profit"/>
  </r>
  <r>
    <s v="3f0af857-5409-444d-8df7-8417dc14730b"/>
    <d v="2023-11-20T00:00:00"/>
    <d v="2023-11-22T00:00:00"/>
    <x v="0"/>
    <x v="5"/>
    <s v="Q4"/>
    <n v="2"/>
    <x v="3"/>
    <x v="7"/>
    <x v="1"/>
    <x v="1"/>
    <s v="Paper have"/>
    <x v="437"/>
    <n v="1"/>
    <n v="0.28999999999999998"/>
    <n v="590.29"/>
    <n v="268"/>
    <s v="profit"/>
  </r>
  <r>
    <s v="7827a490-8061-4d65-8242-067461df1d6f"/>
    <d v="2023-04-13T00:00:00"/>
    <d v="2023-04-15T00:00:00"/>
    <x v="1"/>
    <x v="1"/>
    <s v="Q2"/>
    <n v="2"/>
    <x v="3"/>
    <x v="2"/>
    <x v="0"/>
    <x v="7"/>
    <s v="Chairs day"/>
    <x v="438"/>
    <n v="2"/>
    <n v="0.14000000000000001"/>
    <n v="417.7"/>
    <n v="88.160000000000025"/>
    <s v="profit"/>
  </r>
  <r>
    <s v="07d3ee5d-fb21-437b-9de6-0122c9620168"/>
    <d v="2023-08-18T00:00:00"/>
    <d v="2023-08-21T00:00:00"/>
    <x v="1"/>
    <x v="2"/>
    <s v="Q3"/>
    <n v="3"/>
    <x v="2"/>
    <x v="4"/>
    <x v="0"/>
    <x v="7"/>
    <s v="Chairs experience"/>
    <x v="439"/>
    <n v="1"/>
    <n v="0.03"/>
    <n v="264.66000000000003"/>
    <n v="21.079999999999984"/>
    <s v="profit"/>
  </r>
  <r>
    <s v="654b9505-4d6f-414f-8400-e60f2f01f1be"/>
    <d v="2023-02-22T00:00:00"/>
    <d v="2023-02-25T00:00:00"/>
    <x v="1"/>
    <x v="6"/>
    <s v="Q1"/>
    <n v="3"/>
    <x v="3"/>
    <x v="6"/>
    <x v="1"/>
    <x v="4"/>
    <s v="Pens mission"/>
    <x v="440"/>
    <n v="7"/>
    <n v="0.01"/>
    <n v="19.14"/>
    <n v="48.510000000000005"/>
    <s v="profit"/>
  </r>
  <r>
    <s v="60060157-4989-4393-889f-746e2c3ecd23"/>
    <d v="2023-01-14T00:00:00"/>
    <d v="2023-01-23T00:00:00"/>
    <x v="1"/>
    <x v="0"/>
    <s v="Q1"/>
    <n v="9"/>
    <x v="1"/>
    <x v="0"/>
    <x v="1"/>
    <x v="4"/>
    <s v="Pens health"/>
    <x v="441"/>
    <n v="8"/>
    <n v="0.06"/>
    <n v="749.26"/>
    <n v="73.330000000000041"/>
    <s v="profit"/>
  </r>
  <r>
    <s v="d0340789-12c9-4c5b-aa33-616e68a46731"/>
    <d v="2023-08-30T00:00:00"/>
    <d v="2023-09-06T00:00:00"/>
    <x v="1"/>
    <x v="11"/>
    <s v="Q4"/>
    <n v="7"/>
    <x v="1"/>
    <x v="3"/>
    <x v="0"/>
    <x v="3"/>
    <s v="Bookcases make"/>
    <x v="442"/>
    <n v="9"/>
    <n v="0.09"/>
    <n v="591"/>
    <n v="93.600000000000023"/>
    <s v="profit"/>
  </r>
  <r>
    <s v="f3bbb766-e3e0-412b-8930-185e464d076c"/>
    <d v="2023-04-11T00:00:00"/>
    <d v="2023-04-16T00:00:00"/>
    <x v="1"/>
    <x v="1"/>
    <s v="Q2"/>
    <n v="5"/>
    <x v="1"/>
    <x v="7"/>
    <x v="0"/>
    <x v="7"/>
    <s v="Chairs seven"/>
    <x v="443"/>
    <n v="2"/>
    <n v="0.34"/>
    <n v="527.71"/>
    <n v="297.28999999999996"/>
    <s v="profit"/>
  </r>
  <r>
    <s v="70b6cb25-5d17-4bce-bab6-c4b24c180fa5"/>
    <d v="2024-04-25T00:00:00"/>
    <d v="2024-04-27T00:00:00"/>
    <x v="1"/>
    <x v="1"/>
    <s v="Q2"/>
    <n v="2"/>
    <x v="3"/>
    <x v="7"/>
    <x v="2"/>
    <x v="6"/>
    <s v="Laptops there"/>
    <x v="444"/>
    <n v="3"/>
    <n v="0.49"/>
    <n v="113.53"/>
    <n v="195.42999999999998"/>
    <s v="profit"/>
  </r>
  <r>
    <s v="edd34d27-44f5-4c5c-9ae7-74c072b07d1a"/>
    <d v="2024-10-14T00:00:00"/>
    <d v="2024-10-17T00:00:00"/>
    <x v="0"/>
    <x v="4"/>
    <s v="Q4"/>
    <n v="3"/>
    <x v="3"/>
    <x v="1"/>
    <x v="1"/>
    <x v="8"/>
    <s v="Binders similar"/>
    <x v="445"/>
    <n v="9"/>
    <n v="0.28999999999999998"/>
    <n v="592.9"/>
    <n v="306.95000000000005"/>
    <s v="profit"/>
  </r>
  <r>
    <s v="af74ba38-d001-47b8-bba3-ca106cc13a52"/>
    <d v="2023-01-09T00:00:00"/>
    <d v="2023-01-16T00:00:00"/>
    <x v="0"/>
    <x v="0"/>
    <s v="Q1"/>
    <n v="7"/>
    <x v="2"/>
    <x v="7"/>
    <x v="2"/>
    <x v="6"/>
    <s v="Laptops team"/>
    <x v="446"/>
    <n v="2"/>
    <n v="0.14000000000000001"/>
    <n v="396.34"/>
    <n v="113.75"/>
    <s v="profit"/>
  </r>
  <r>
    <s v="911711ab-daf4-42da-91d6-95b105bdeeab"/>
    <d v="2024-10-24T00:00:00"/>
    <d v="2024-10-30T00:00:00"/>
    <x v="1"/>
    <x v="4"/>
    <s v="Q4"/>
    <n v="6"/>
    <x v="2"/>
    <x v="6"/>
    <x v="0"/>
    <x v="7"/>
    <s v="Chairs lose"/>
    <x v="447"/>
    <n v="6"/>
    <n v="0.38"/>
    <n v="14.57"/>
    <n v="35.1"/>
    <s v="profit"/>
  </r>
  <r>
    <s v="03fb02c2-1ab9-4773-982d-2663436735f0"/>
    <d v="2023-05-01T00:00:00"/>
    <d v="2023-05-05T00:00:00"/>
    <x v="0"/>
    <x v="8"/>
    <s v="Q2"/>
    <n v="4"/>
    <x v="0"/>
    <x v="1"/>
    <x v="0"/>
    <x v="0"/>
    <s v="Tables decade"/>
    <x v="448"/>
    <n v="6"/>
    <n v="0.09"/>
    <n v="494.04"/>
    <n v="97.57"/>
    <s v="profit"/>
  </r>
  <r>
    <s v="daa32fec-e34c-4d8f-99e4-b5dea45142b7"/>
    <d v="2024-10-26T00:00:00"/>
    <d v="2024-11-02T00:00:00"/>
    <x v="1"/>
    <x v="5"/>
    <s v="Q4"/>
    <n v="7"/>
    <x v="1"/>
    <x v="7"/>
    <x v="0"/>
    <x v="7"/>
    <s v="Chairs call"/>
    <x v="449"/>
    <n v="7"/>
    <n v="0.28999999999999998"/>
    <n v="583.34"/>
    <n v="301.05999999999995"/>
    <s v="profit"/>
  </r>
  <r>
    <s v="0053fb7d-1ad1-4b8b-abe1-e480adf2e9a6"/>
    <d v="2024-08-05T00:00:00"/>
    <d v="2024-08-06T00:00:00"/>
    <x v="0"/>
    <x v="2"/>
    <s v="Q3"/>
    <n v="1"/>
    <x v="1"/>
    <x v="1"/>
    <x v="2"/>
    <x v="5"/>
    <s v="Phones run"/>
    <x v="450"/>
    <n v="4"/>
    <n v="0.12"/>
    <n v="341.46"/>
    <n v="71.300000000000011"/>
    <s v="profit"/>
  </r>
  <r>
    <s v="5f24a92b-757e-451e-a26a-924894761dc3"/>
    <d v="2024-07-29T00:00:00"/>
    <d v="2024-08-03T00:00:00"/>
    <x v="0"/>
    <x v="2"/>
    <s v="Q3"/>
    <n v="5"/>
    <x v="3"/>
    <x v="2"/>
    <x v="0"/>
    <x v="0"/>
    <s v="Tables final"/>
    <x v="451"/>
    <n v="1"/>
    <n v="0.17"/>
    <n v="789.42"/>
    <n v="182.13"/>
    <s v="profit"/>
  </r>
  <r>
    <s v="62518594-50b5-449c-9e45-417fd5fff782"/>
    <d v="2023-06-05T00:00:00"/>
    <d v="2023-06-06T00:00:00"/>
    <x v="0"/>
    <x v="3"/>
    <s v="Q3"/>
    <n v="1"/>
    <x v="0"/>
    <x v="0"/>
    <x v="0"/>
    <x v="7"/>
    <s v="Chairs should"/>
    <x v="452"/>
    <n v="3"/>
    <n v="7.0000000000000007E-2"/>
    <n v="308.38"/>
    <n v="65.050000000000011"/>
    <s v="profit"/>
  </r>
  <r>
    <s v="50313bb6-7e4f-4058-880f-74dc871cc085"/>
    <d v="2023-11-05T00:00:00"/>
    <d v="2023-11-14T00:00:00"/>
    <x v="1"/>
    <x v="5"/>
    <s v="Q4"/>
    <n v="9"/>
    <x v="2"/>
    <x v="7"/>
    <x v="2"/>
    <x v="6"/>
    <s v="Laptops evidence"/>
    <x v="453"/>
    <n v="1"/>
    <n v="0.24"/>
    <n v="461.38"/>
    <n v="193.23000000000002"/>
    <s v="profit"/>
  </r>
  <r>
    <s v="f977023f-4bcf-41ad-90b1-2421585d4800"/>
    <d v="2024-01-23T00:00:00"/>
    <d v="2024-01-29T00:00:00"/>
    <x v="1"/>
    <x v="0"/>
    <s v="Q1"/>
    <n v="6"/>
    <x v="2"/>
    <x v="2"/>
    <x v="0"/>
    <x v="7"/>
    <s v="Chairs successful"/>
    <x v="454"/>
    <n v="4"/>
    <n v="0.01"/>
    <n v="870.67"/>
    <n v="52.550000000000068"/>
    <s v="profit"/>
  </r>
  <r>
    <s v="cd47c152-582d-404a-9ee5-e766794cf3ba"/>
    <d v="2023-02-03T00:00:00"/>
    <d v="2023-02-12T00:00:00"/>
    <x v="0"/>
    <x v="6"/>
    <s v="Q1"/>
    <n v="9"/>
    <x v="0"/>
    <x v="7"/>
    <x v="0"/>
    <x v="3"/>
    <s v="Bookcases north"/>
    <x v="455"/>
    <n v="2"/>
    <n v="0.41"/>
    <n v="94.37"/>
    <n v="109.04999999999998"/>
    <s v="profit"/>
  </r>
  <r>
    <s v="f981d951-1e0f-4e95-9e8e-cc26e5f02ecd"/>
    <d v="2023-06-10T00:00:00"/>
    <d v="2023-06-15T00:00:00"/>
    <x v="1"/>
    <x v="3"/>
    <s v="Q3"/>
    <n v="5"/>
    <x v="3"/>
    <x v="4"/>
    <x v="1"/>
    <x v="4"/>
    <s v="Pens blue"/>
    <x v="456"/>
    <n v="1"/>
    <n v="0.1"/>
    <n v="225.11"/>
    <n v="73.81"/>
    <s v="profit"/>
  </r>
  <r>
    <s v="d84a15f8-966f-4685-a258-e70560c72422"/>
    <d v="2024-08-18T00:00:00"/>
    <d v="2024-08-23T00:00:00"/>
    <x v="1"/>
    <x v="2"/>
    <s v="Q3"/>
    <n v="5"/>
    <x v="1"/>
    <x v="6"/>
    <x v="2"/>
    <x v="5"/>
    <s v="Phones memory"/>
    <x v="457"/>
    <n v="1"/>
    <n v="0.37"/>
    <n v="402.29"/>
    <n v="283.23999999999995"/>
    <s v="profit"/>
  </r>
  <r>
    <s v="b8fa2878-88c0-4001-a6f8-377672eb9daf"/>
    <d v="2023-07-30T00:00:00"/>
    <d v="2023-07-30T00:00:00"/>
    <x v="0"/>
    <x v="7"/>
    <s v="Q3"/>
    <n v="0"/>
    <x v="1"/>
    <x v="0"/>
    <x v="2"/>
    <x v="6"/>
    <s v="Laptops maybe"/>
    <x v="458"/>
    <n v="10"/>
    <n v="0.21"/>
    <n v="554.48"/>
    <n v="197.43999999999994"/>
    <s v="profit"/>
  </r>
  <r>
    <s v="2cb0785d-d82a-4d75-9416-8f89994f7c3d"/>
    <d v="2024-05-18T00:00:00"/>
    <d v="2024-05-25T00:00:00"/>
    <x v="1"/>
    <x v="8"/>
    <s v="Q2"/>
    <n v="7"/>
    <x v="2"/>
    <x v="7"/>
    <x v="2"/>
    <x v="6"/>
    <s v="Laptops knowledge"/>
    <x v="459"/>
    <n v="5"/>
    <n v="0.04"/>
    <n v="595.85"/>
    <n v="58.519999999999982"/>
    <s v="profit"/>
  </r>
  <r>
    <s v="5731a019-c68f-45ef-9a2d-26fdda10b0ca"/>
    <d v="2023-06-30T00:00:00"/>
    <d v="2023-07-08T00:00:00"/>
    <x v="0"/>
    <x v="7"/>
    <s v="Q3"/>
    <n v="8"/>
    <x v="3"/>
    <x v="1"/>
    <x v="2"/>
    <x v="2"/>
    <s v="Accessories car"/>
    <x v="460"/>
    <n v="9"/>
    <n v="0.02"/>
    <n v="332.82"/>
    <n v="22.29000000000002"/>
    <s v="profit"/>
  </r>
  <r>
    <s v="5369fb02-e27f-44f3-b839-f21495495518"/>
    <d v="2023-09-03T00:00:00"/>
    <d v="2023-09-09T00:00:00"/>
    <x v="1"/>
    <x v="11"/>
    <s v="Q4"/>
    <n v="6"/>
    <x v="1"/>
    <x v="3"/>
    <x v="0"/>
    <x v="0"/>
    <s v="Tables ok"/>
    <x v="461"/>
    <n v="5"/>
    <n v="0.15"/>
    <n v="66.45"/>
    <n v="24.849999999999994"/>
    <s v="profit"/>
  </r>
  <r>
    <s v="804c824f-e3cb-4b99-8c2e-906e2c57b467"/>
    <d v="2023-08-24T00:00:00"/>
    <d v="2023-08-30T00:00:00"/>
    <x v="1"/>
    <x v="2"/>
    <s v="Q3"/>
    <n v="6"/>
    <x v="3"/>
    <x v="0"/>
    <x v="2"/>
    <x v="5"/>
    <s v="Phones bank"/>
    <x v="462"/>
    <n v="6"/>
    <n v="0.25"/>
    <n v="559.20000000000005"/>
    <n v="224.63"/>
    <s v="profit"/>
  </r>
  <r>
    <s v="f81dcdc2-f9fe-4f17-b792-356ab8bd4155"/>
    <d v="2024-11-15T00:00:00"/>
    <d v="2024-11-23T00:00:00"/>
    <x v="1"/>
    <x v="5"/>
    <s v="Q4"/>
    <n v="8"/>
    <x v="3"/>
    <x v="2"/>
    <x v="2"/>
    <x v="2"/>
    <s v="Accessories message"/>
    <x v="463"/>
    <n v="8"/>
    <n v="0.46"/>
    <n v="68.319999999999993"/>
    <n v="99.420000000000016"/>
    <s v="profit"/>
  </r>
  <r>
    <s v="b2666069-c0fb-4b4b-9137-ae14f71a33cf"/>
    <d v="2024-04-28T00:00:00"/>
    <d v="2024-04-30T00:00:00"/>
    <x v="0"/>
    <x v="1"/>
    <s v="Q2"/>
    <n v="2"/>
    <x v="2"/>
    <x v="5"/>
    <x v="2"/>
    <x v="5"/>
    <s v="Phones suffer"/>
    <x v="464"/>
    <n v="3"/>
    <n v="0.47"/>
    <n v="325.87"/>
    <n v="322.22000000000003"/>
    <s v="profit"/>
  </r>
  <r>
    <s v="5eed58f8-652b-4ac1-a334-c00dfe9f5985"/>
    <d v="2023-08-09T00:00:00"/>
    <d v="2023-08-16T00:00:00"/>
    <x v="0"/>
    <x v="2"/>
    <s v="Q3"/>
    <n v="7"/>
    <x v="0"/>
    <x v="1"/>
    <x v="2"/>
    <x v="6"/>
    <s v="Laptops music"/>
    <x v="465"/>
    <n v="4"/>
    <n v="0.03"/>
    <n v="642.44000000000005"/>
    <n v="71.349999999999909"/>
    <s v="profit"/>
  </r>
  <r>
    <s v="6d58d00f-177f-4fb8-a51b-fa104456c55e"/>
    <d v="2024-07-31T00:00:00"/>
    <d v="2024-08-02T00:00:00"/>
    <x v="1"/>
    <x v="2"/>
    <s v="Q3"/>
    <n v="2"/>
    <x v="3"/>
    <x v="7"/>
    <x v="1"/>
    <x v="4"/>
    <s v="Pens article"/>
    <x v="466"/>
    <n v="10"/>
    <n v="0.37"/>
    <n v="496.34"/>
    <n v="326.27000000000004"/>
    <s v="profit"/>
  </r>
  <r>
    <s v="11f472f2-6b39-411e-93c3-8bd95003475f"/>
    <d v="2024-11-06T00:00:00"/>
    <d v="2024-11-07T00:00:00"/>
    <x v="0"/>
    <x v="5"/>
    <s v="Q4"/>
    <n v="1"/>
    <x v="3"/>
    <x v="3"/>
    <x v="1"/>
    <x v="4"/>
    <s v="Pens response"/>
    <x v="467"/>
    <n v="9"/>
    <n v="0.47"/>
    <n v="106.4"/>
    <n v="138.97"/>
    <s v="profit"/>
  </r>
  <r>
    <s v="76dfd417-f6c9-4d9d-8290-6bf84eaa8687"/>
    <d v="2024-08-04T00:00:00"/>
    <d v="2024-08-11T00:00:00"/>
    <x v="0"/>
    <x v="2"/>
    <s v="Q3"/>
    <n v="7"/>
    <x v="2"/>
    <x v="4"/>
    <x v="1"/>
    <x v="8"/>
    <s v="Binders want"/>
    <x v="468"/>
    <n v="7"/>
    <n v="0.15"/>
    <n v="461.44"/>
    <n v="97.010000000000048"/>
    <s v="profit"/>
  </r>
  <r>
    <s v="d966a34a-717b-44c6-a18d-7881e6182aee"/>
    <d v="2024-03-03T00:00:00"/>
    <d v="2024-03-07T00:00:00"/>
    <x v="0"/>
    <x v="10"/>
    <s v="Q2"/>
    <n v="4"/>
    <x v="0"/>
    <x v="3"/>
    <x v="0"/>
    <x v="7"/>
    <s v="Chairs focus"/>
    <x v="469"/>
    <n v="5"/>
    <n v="0.09"/>
    <n v="766.72"/>
    <n v="123.25999999999999"/>
    <s v="profit"/>
  </r>
  <r>
    <s v="88bcad67-ecba-421d-876c-03d64ca066cc"/>
    <d v="2024-05-16T00:00:00"/>
    <d v="2024-05-18T00:00:00"/>
    <x v="0"/>
    <x v="8"/>
    <s v="Q2"/>
    <n v="2"/>
    <x v="2"/>
    <x v="7"/>
    <x v="0"/>
    <x v="7"/>
    <s v="Chairs cause"/>
    <x v="470"/>
    <n v="9"/>
    <n v="0.42"/>
    <n v="524.41999999999996"/>
    <n v="433.81000000000006"/>
    <s v="profit"/>
  </r>
  <r>
    <s v="2bcf19c2-07c6-4111-92bd-f757af6f077a"/>
    <d v="2023-01-30T00:00:00"/>
    <d v="2023-02-01T00:00:00"/>
    <x v="0"/>
    <x v="6"/>
    <s v="Q1"/>
    <n v="2"/>
    <x v="2"/>
    <x v="4"/>
    <x v="2"/>
    <x v="5"/>
    <s v="Phones physical"/>
    <x v="471"/>
    <n v="7"/>
    <n v="0.1"/>
    <n v="246.82"/>
    <n v="42.350000000000023"/>
    <s v="profit"/>
  </r>
  <r>
    <s v="37be8f79-c930-4f6d-8982-78be453ea57a"/>
    <d v="2024-11-14T00:00:00"/>
    <d v="2024-11-21T00:00:00"/>
    <x v="1"/>
    <x v="5"/>
    <s v="Q4"/>
    <n v="7"/>
    <x v="3"/>
    <x v="5"/>
    <x v="1"/>
    <x v="1"/>
    <s v="Paper main"/>
    <x v="472"/>
    <n v="9"/>
    <n v="0.05"/>
    <n v="768.18"/>
    <n v="71.200000000000045"/>
    <s v="profit"/>
  </r>
  <r>
    <s v="14cf1702-18bd-4da6-aaf0-d5aa279f54e4"/>
    <d v="2022-12-19T00:00:00"/>
    <d v="2022-12-22T00:00:00"/>
    <x v="0"/>
    <x v="9"/>
    <s v="Q4"/>
    <n v="3"/>
    <x v="1"/>
    <x v="0"/>
    <x v="2"/>
    <x v="5"/>
    <s v="Phones begin"/>
    <x v="473"/>
    <n v="6"/>
    <n v="0.19"/>
    <n v="271.52"/>
    <n v="112.36000000000001"/>
    <s v="profit"/>
  </r>
  <r>
    <s v="3dd731a0-ce83-4fc3-9c05-bbe0cdc72181"/>
    <d v="2023-04-08T00:00:00"/>
    <d v="2023-04-09T00:00:00"/>
    <x v="3"/>
    <x v="1"/>
    <s v="Q2"/>
    <n v="1"/>
    <x v="1"/>
    <x v="0"/>
    <x v="1"/>
    <x v="4"/>
    <s v="Pens piece"/>
    <x v="474"/>
    <n v="2"/>
    <n v="0.16"/>
    <n v="303.77"/>
    <n v="113.39000000000004"/>
    <s v="profit"/>
  </r>
  <r>
    <s v="e28b0e20-928b-41ec-9287-d219f9142dea"/>
    <d v="2023-06-19T00:00:00"/>
    <d v="2023-06-23T00:00:00"/>
    <x v="1"/>
    <x v="3"/>
    <s v="Q3"/>
    <n v="4"/>
    <x v="0"/>
    <x v="3"/>
    <x v="1"/>
    <x v="4"/>
    <s v="Pens we"/>
    <x v="475"/>
    <n v="4"/>
    <n v="0.48"/>
    <n v="464.24"/>
    <n v="473.1"/>
    <s v="profit"/>
  </r>
  <r>
    <s v="92192cc6-9d7f-4ae4-8755-080fc1a5b106"/>
    <d v="2023-01-01T00:00:00"/>
    <d v="2023-01-07T00:00:00"/>
    <x v="1"/>
    <x v="0"/>
    <s v="Q1"/>
    <n v="6"/>
    <x v="1"/>
    <x v="0"/>
    <x v="0"/>
    <x v="7"/>
    <s v="Chairs successful"/>
    <x v="476"/>
    <n v="1"/>
    <n v="0.2"/>
    <n v="281.19"/>
    <n v="95.600000000000023"/>
    <s v="profit"/>
  </r>
  <r>
    <s v="580787b5-c1af-4ff1-ae75-349714bc46ea"/>
    <m/>
    <d v="2023-08-01T00:00:00"/>
    <x v="1"/>
    <x v="2"/>
    <s v="Q3"/>
    <n v="45139"/>
    <x v="4"/>
    <x v="1"/>
    <x v="2"/>
    <x v="2"/>
    <s v="Accessories focus"/>
    <x v="59"/>
    <n v="4"/>
    <n v="0.46"/>
    <n v="217.14"/>
    <e v="#VALUE!"/>
    <s v="profit"/>
  </r>
  <r>
    <s v="b9a2012c-52f7-4de4-9fcb-963a4a6e61e7"/>
    <d v="2023-08-05T00:00:00"/>
    <d v="2023-08-07T00:00:00"/>
    <x v="2"/>
    <x v="2"/>
    <s v="Q3"/>
    <n v="2"/>
    <x v="0"/>
    <x v="1"/>
    <x v="1"/>
    <x v="4"/>
    <s v="Pens answer"/>
    <x v="477"/>
    <n v="4"/>
    <n v="0.08"/>
    <n v="695.51"/>
    <n v="111.39999999999998"/>
    <s v="profit"/>
  </r>
  <r>
    <s v="015ae6b0-a9d4-4c0f-94bd-a461b391f961"/>
    <d v="2022-12-17T00:00:00"/>
    <d v="2022-12-18T00:00:00"/>
    <x v="1"/>
    <x v="9"/>
    <s v="Q4"/>
    <n v="1"/>
    <x v="0"/>
    <x v="6"/>
    <x v="1"/>
    <x v="4"/>
    <s v="Pens wall"/>
    <x v="478"/>
    <n v="6"/>
    <n v="0.1"/>
    <n v="358.92"/>
    <n v="79.729999999999961"/>
    <s v="profit"/>
  </r>
  <r>
    <s v="8dcc99ec-cc47-40b5-a394-87bffe18d489"/>
    <d v="2024-04-19T00:00:00"/>
    <d v="2024-04-23T00:00:00"/>
    <x v="3"/>
    <x v="1"/>
    <s v="Q2"/>
    <n v="4"/>
    <x v="0"/>
    <x v="1"/>
    <x v="0"/>
    <x v="0"/>
    <s v="Tables enjoy"/>
    <x v="479"/>
    <n v="7"/>
    <n v="0.11"/>
    <n v="613.36"/>
    <n v="90.169999999999959"/>
    <s v="profit"/>
  </r>
  <r>
    <s v="dd33b3dc-f632-4bd6-86e5-a87fe4149be3"/>
    <d v="2024-06-28T00:00:00"/>
    <d v="2024-06-29T00:00:00"/>
    <x v="0"/>
    <x v="3"/>
    <s v="Q3"/>
    <n v="1"/>
    <x v="1"/>
    <x v="3"/>
    <x v="1"/>
    <x v="8"/>
    <s v="Binders carry"/>
    <x v="480"/>
    <n v="9"/>
    <n v="0.08"/>
    <n v="433.07"/>
    <n v="72.910000000000025"/>
    <s v="profit"/>
  </r>
  <r>
    <s v="df28cfc0-baaa-4295-b280-d7d716791adb"/>
    <d v="2023-06-11T00:00:00"/>
    <d v="2023-06-17T00:00:00"/>
    <x v="0"/>
    <x v="3"/>
    <s v="Q3"/>
    <n v="6"/>
    <x v="1"/>
    <x v="1"/>
    <x v="0"/>
    <x v="0"/>
    <s v="Tables we"/>
    <x v="481"/>
    <n v="9"/>
    <n v="0.32"/>
    <n v="8.6"/>
    <n v="68.52000000000001"/>
    <s v="profit"/>
  </r>
  <r>
    <s v="25fcf43f-64e7-4656-955e-9daadc990634"/>
    <d v="2024-10-11T00:00:00"/>
    <d v="2024-10-19T00:00:00"/>
    <x v="1"/>
    <x v="4"/>
    <s v="Q4"/>
    <n v="8"/>
    <x v="3"/>
    <x v="5"/>
    <x v="2"/>
    <x v="2"/>
    <s v="Accessories century"/>
    <x v="482"/>
    <n v="5"/>
    <n v="0.12"/>
    <n v="158.97"/>
    <n v="43.110000000000014"/>
    <s v="profit"/>
  </r>
  <r>
    <s v="7a0a67f5-2178-4cd4-86fb-9496ee052561"/>
    <d v="2023-10-25T00:00:00"/>
    <d v="2023-10-29T00:00:00"/>
    <x v="0"/>
    <x v="4"/>
    <s v="Q4"/>
    <n v="4"/>
    <x v="0"/>
    <x v="6"/>
    <x v="0"/>
    <x v="3"/>
    <s v="Bookcases size"/>
    <x v="483"/>
    <n v="1"/>
    <n v="0.38"/>
    <n v="201.57"/>
    <n v="165.11"/>
    <s v="profit"/>
  </r>
  <r>
    <s v="19be6cf9-4264-430f-bcda-b4bd1e3ede1b"/>
    <d v="2024-06-12T00:00:00"/>
    <d v="2024-06-19T00:00:00"/>
    <x v="1"/>
    <x v="3"/>
    <s v="Q3"/>
    <n v="7"/>
    <x v="1"/>
    <x v="3"/>
    <x v="2"/>
    <x v="6"/>
    <s v="Laptops shoulder"/>
    <x v="484"/>
    <n v="2"/>
    <n v="0.28999999999999998"/>
    <n v="75.569999999999993"/>
    <n v="77.099999999999994"/>
    <s v="profit"/>
  </r>
  <r>
    <s v="6214aec0-fa2c-4302-bab2-00783cf0fa62"/>
    <d v="2023-07-06T00:00:00"/>
    <d v="2023-07-14T00:00:00"/>
    <x v="0"/>
    <x v="7"/>
    <s v="Q3"/>
    <n v="8"/>
    <x v="0"/>
    <x v="0"/>
    <x v="2"/>
    <x v="6"/>
    <s v="Laptops Democrat"/>
    <x v="485"/>
    <n v="7"/>
    <n v="0.04"/>
    <n v="398.84"/>
    <n v="63.06"/>
    <s v="profit"/>
  </r>
  <r>
    <s v="30902357-eb95-4a79-8bd4-75547806150d"/>
    <d v="2023-12-08T00:00:00"/>
    <d v="2023-12-17T00:00:00"/>
    <x v="1"/>
    <x v="9"/>
    <s v="Q4"/>
    <n v="9"/>
    <x v="0"/>
    <x v="0"/>
    <x v="1"/>
    <x v="8"/>
    <s v="Binders reflect"/>
    <x v="486"/>
    <n v="9"/>
    <n v="0.4"/>
    <n v="155.62"/>
    <n v="149.13"/>
    <s v="profit"/>
  </r>
  <r>
    <s v="a8ffa721-c379-4f4f-b96b-635952a97e2b"/>
    <d v="2023-07-22T00:00:00"/>
    <d v="2023-07-30T00:00:00"/>
    <x v="1"/>
    <x v="7"/>
    <s v="Q3"/>
    <n v="8"/>
    <x v="1"/>
    <x v="0"/>
    <x v="1"/>
    <x v="4"/>
    <s v="Pens information"/>
    <x v="487"/>
    <n v="4"/>
    <n v="0.21"/>
    <n v="369.35"/>
    <n v="142.38999999999999"/>
    <s v="profit"/>
  </r>
  <r>
    <s v="1737a86c-48b0-427c-90a8-e91c708fdf7a"/>
    <d v="2023-08-13T00:00:00"/>
    <d v="2023-08-20T00:00:00"/>
    <x v="1"/>
    <x v="2"/>
    <s v="Q3"/>
    <n v="7"/>
    <x v="2"/>
    <x v="1"/>
    <x v="2"/>
    <x v="5"/>
    <s v="Phones candidate"/>
    <x v="488"/>
    <n v="1"/>
    <n v="0.2"/>
    <n v="582.19000000000005"/>
    <n v="173.65999999999997"/>
    <s v="profit"/>
  </r>
  <r>
    <s v="0cee4085-54d3-4d64-9d0b-47ced3430763"/>
    <d v="2024-07-31T00:00:00"/>
    <d v="2024-08-03T00:00:00"/>
    <x v="1"/>
    <x v="2"/>
    <s v="Q3"/>
    <n v="3"/>
    <x v="2"/>
    <x v="7"/>
    <x v="2"/>
    <x v="5"/>
    <s v="Phones guess"/>
    <x v="489"/>
    <n v="4"/>
    <n v="0.42"/>
    <n v="461.56"/>
    <n v="409.85999999999996"/>
    <s v="profit"/>
  </r>
  <r>
    <s v="a77fe22a-7427-4191-88c4-bdd5c789f43f"/>
    <d v="2024-10-12T00:00:00"/>
    <d v="2024-10-12T00:00:00"/>
    <x v="0"/>
    <x v="4"/>
    <s v="Q4"/>
    <n v="0"/>
    <x v="3"/>
    <x v="1"/>
    <x v="2"/>
    <x v="5"/>
    <s v="Phones bring"/>
    <x v="490"/>
    <n v="7"/>
    <n v="0.02"/>
    <n v="480.17"/>
    <n v="47.06"/>
    <s v="profit"/>
  </r>
  <r>
    <s v="e6fa5d38-105b-4ffd-9241-0df1a015a2f0"/>
    <d v="2023-01-17T00:00:00"/>
    <d v="2023-01-22T00:00:00"/>
    <x v="0"/>
    <x v="0"/>
    <s v="Q1"/>
    <n v="5"/>
    <x v="2"/>
    <x v="1"/>
    <x v="1"/>
    <x v="4"/>
    <s v="Pens bank"/>
    <x v="491"/>
    <n v="1"/>
    <n v="0.4"/>
    <n v="38.450000000000003"/>
    <n v="64.33"/>
    <s v="profit"/>
  </r>
  <r>
    <s v="7a16e220-201f-4a28-bd31-a01dc1cf2e93"/>
    <d v="2023-01-13T00:00:00"/>
    <d v="2023-09-11T00:00:00"/>
    <x v="1"/>
    <x v="11"/>
    <s v="Q4"/>
    <n v="241"/>
    <x v="2"/>
    <x v="6"/>
    <x v="0"/>
    <x v="3"/>
    <s v="Bookcases daughter"/>
    <x v="492"/>
    <n v="1"/>
    <n v="0.28000000000000003"/>
    <n v="532.47"/>
    <n v="274.60000000000002"/>
    <s v="profit"/>
  </r>
  <r>
    <s v="56750568-3cbf-4e67-aa31-c6a4a2798805"/>
    <d v="2023-07-17T00:00:00"/>
    <d v="2023-07-21T00:00:00"/>
    <x v="1"/>
    <x v="7"/>
    <s v="Q3"/>
    <n v="4"/>
    <x v="3"/>
    <x v="7"/>
    <x v="0"/>
    <x v="7"/>
    <s v="Chairs food"/>
    <x v="493"/>
    <n v="3"/>
    <n v="0.41"/>
    <n v="195.15"/>
    <n v="166.66"/>
    <s v="profit"/>
  </r>
  <r>
    <s v="42ee5810-b935-4ed2-8974-ee6ce39e1a1f"/>
    <d v="2023-10-12T00:00:00"/>
    <d v="2023-10-17T00:00:00"/>
    <x v="1"/>
    <x v="4"/>
    <s v="Q4"/>
    <n v="5"/>
    <x v="3"/>
    <x v="4"/>
    <x v="2"/>
    <x v="6"/>
    <s v="Laptops seat"/>
    <x v="494"/>
    <n v="10"/>
    <n v="0.38"/>
    <n v="344.77"/>
    <n v="238.71000000000004"/>
    <s v="profit"/>
  </r>
  <r>
    <s v="8c8f7245-0f45-4e9a-a9a2-f91a7ff4e45c"/>
    <d v="2023-01-05T00:00:00"/>
    <d v="2023-01-10T00:00:00"/>
    <x v="1"/>
    <x v="0"/>
    <s v="Q1"/>
    <n v="5"/>
    <x v="2"/>
    <x v="6"/>
    <x v="1"/>
    <x v="4"/>
    <s v="Pens evening"/>
    <x v="495"/>
    <n v="2"/>
    <n v="0.15"/>
    <n v="728.59"/>
    <n v="149.49"/>
    <s v="profit"/>
  </r>
  <r>
    <s v="f1ea6cc1-7bef-4f7e-a8ac-d68a8abd8554"/>
    <d v="2023-05-04T00:00:00"/>
    <d v="2023-05-04T00:00:00"/>
    <x v="1"/>
    <x v="8"/>
    <s v="Q2"/>
    <n v="0"/>
    <x v="0"/>
    <x v="3"/>
    <x v="0"/>
    <x v="0"/>
    <s v="Tables beat"/>
    <x v="496"/>
    <n v="7"/>
    <n v="0.44"/>
    <n v="335.25"/>
    <n v="321.76"/>
    <s v="profit"/>
  </r>
  <r>
    <s v="9a11e98a-39ae-4510-9fa0-f281839bcd84"/>
    <d v="2023-03-24T00:00:00"/>
    <d v="2023-03-25T00:00:00"/>
    <x v="1"/>
    <x v="10"/>
    <s v="Q2"/>
    <n v="1"/>
    <x v="1"/>
    <x v="1"/>
    <x v="0"/>
    <x v="0"/>
    <s v="Tables debate"/>
    <x v="497"/>
    <n v="3"/>
    <n v="0.26"/>
    <n v="148.22999999999999"/>
    <n v="90.050000000000011"/>
    <s v="profit"/>
  </r>
  <r>
    <s v="c675820a-a486-48ac-a35a-f2f7f76437c5"/>
    <d v="2024-08-06T00:00:00"/>
    <d v="2024-08-08T00:00:00"/>
    <x v="1"/>
    <x v="2"/>
    <s v="Q3"/>
    <n v="2"/>
    <x v="0"/>
    <x v="5"/>
    <x v="1"/>
    <x v="1"/>
    <s v="Paper soldier"/>
    <x v="498"/>
    <n v="9"/>
    <n v="0.1"/>
    <n v="32.06"/>
    <n v="55.7"/>
    <s v="profit"/>
  </r>
  <r>
    <s v="815dc334-634b-44ac-bb37-110293f93ba0"/>
    <d v="2023-02-14T00:00:00"/>
    <d v="2023-02-20T00:00:00"/>
    <x v="0"/>
    <x v="6"/>
    <s v="Q1"/>
    <n v="6"/>
    <x v="2"/>
    <x v="2"/>
    <x v="0"/>
    <x v="7"/>
    <s v="Chairs air"/>
    <x v="499"/>
    <n v="7"/>
    <n v="0.03"/>
    <n v="130.52000000000001"/>
    <n v="37.049999999999983"/>
    <s v="profit"/>
  </r>
  <r>
    <s v="26660e95-457c-48af-8c8f-04142d7ed07c"/>
    <d v="2023-08-22T00:00:00"/>
    <d v="2023-08-24T00:00:00"/>
    <x v="1"/>
    <x v="2"/>
    <s v="Q3"/>
    <n v="2"/>
    <x v="2"/>
    <x v="2"/>
    <x v="2"/>
    <x v="6"/>
    <s v="Laptops fly"/>
    <x v="500"/>
    <n v="8"/>
    <n v="0.26"/>
    <n v="46.78"/>
    <n v="61.08"/>
    <s v="profit"/>
  </r>
  <r>
    <s v="f8772aac-6f95-4fb0-aeb7-74cac7f108c8"/>
    <d v="2023-10-19T00:00:00"/>
    <d v="2023-10-21T00:00:00"/>
    <x v="1"/>
    <x v="4"/>
    <s v="Q4"/>
    <n v="2"/>
    <x v="2"/>
    <x v="0"/>
    <x v="2"/>
    <x v="5"/>
    <s v="Phones image"/>
    <x v="501"/>
    <n v="8"/>
    <n v="0.09"/>
    <n v="399.37"/>
    <n v="94.259999999999991"/>
    <s v="profit"/>
  </r>
  <r>
    <s v="a2a4388a-ba26-43a8-8444-3875890d9a60"/>
    <m/>
    <d v="2023-09-09T00:00:00"/>
    <x v="1"/>
    <x v="11"/>
    <s v="Q4"/>
    <n v="45178"/>
    <x v="4"/>
    <x v="1"/>
    <x v="1"/>
    <x v="1"/>
    <s v="Paper pass"/>
    <x v="59"/>
    <n v="10"/>
    <n v="0.19"/>
    <n v="683.33"/>
    <e v="#VALUE!"/>
    <s v="profit"/>
  </r>
  <r>
    <s v="5649e898-0210-49f3-af75-9d4b0311386b"/>
    <d v="2023-03-18T00:00:00"/>
    <d v="2023-03-26T00:00:00"/>
    <x v="2"/>
    <x v="10"/>
    <s v="Q2"/>
    <n v="8"/>
    <x v="1"/>
    <x v="0"/>
    <x v="2"/>
    <x v="5"/>
    <s v="Phones own"/>
    <x v="502"/>
    <n v="7"/>
    <n v="0.06"/>
    <n v="708.16"/>
    <n v="88.730000000000018"/>
    <s v="profit"/>
  </r>
  <r>
    <s v="881e1391-d252-43ba-8961-4f97bbe184cd"/>
    <d v="2023-08-22T00:00:00"/>
    <d v="2024-07-06T00:00:00"/>
    <x v="1"/>
    <x v="7"/>
    <s v="Q3"/>
    <n v="319"/>
    <x v="1"/>
    <x v="4"/>
    <x v="2"/>
    <x v="6"/>
    <s v="Laptops statement"/>
    <x v="503"/>
    <n v="10"/>
    <n v="0.47"/>
    <n v="47.41"/>
    <n v="124.11000000000001"/>
    <s v="profit"/>
  </r>
  <r>
    <s v="27848629-b3d6-4ce2-aa4f-e139484d8d61"/>
    <d v="2023-03-18T00:00:00"/>
    <d v="2023-03-22T00:00:00"/>
    <x v="1"/>
    <x v="10"/>
    <s v="Q2"/>
    <n v="4"/>
    <x v="0"/>
    <x v="4"/>
    <x v="2"/>
    <x v="5"/>
    <s v="Phones southern"/>
    <x v="504"/>
    <n v="7"/>
    <n v="0.39"/>
    <n v="480.64"/>
    <n v="385.71000000000004"/>
    <s v="profit"/>
  </r>
  <r>
    <s v="289270a1-21a6-4451-93f7-6af158a86ce3"/>
    <d v="2024-02-29T00:00:00"/>
    <d v="2024-03-01T00:00:00"/>
    <x v="1"/>
    <x v="10"/>
    <s v="Q2"/>
    <n v="1"/>
    <x v="0"/>
    <x v="4"/>
    <x v="0"/>
    <x v="7"/>
    <s v="Chairs environmental"/>
    <x v="505"/>
    <n v="4"/>
    <n v="0.15"/>
    <n v="9.26"/>
    <n v="27.32"/>
    <s v="profit"/>
  </r>
  <r>
    <s v="8c819856-bf9d-4741-86ef-f8883138bf8d"/>
    <d v="2023-06-13T00:00:00"/>
    <d v="2023-06-16T00:00:00"/>
    <x v="0"/>
    <x v="3"/>
    <s v="Q3"/>
    <n v="3"/>
    <x v="1"/>
    <x v="3"/>
    <x v="0"/>
    <x v="7"/>
    <s v="Chairs partner"/>
    <x v="506"/>
    <n v="6"/>
    <n v="0.1"/>
    <n v="807.81"/>
    <n v="142.72000000000003"/>
    <s v="profit"/>
  </r>
  <r>
    <s v="5cca90a1-e79c-4855-957b-3a92decdc215"/>
    <d v="2023-08-01T00:00:00"/>
    <d v="2023-08-06T00:00:00"/>
    <x v="1"/>
    <x v="2"/>
    <s v="Q3"/>
    <n v="5"/>
    <x v="3"/>
    <x v="4"/>
    <x v="1"/>
    <x v="8"/>
    <s v="Binders entire"/>
    <x v="507"/>
    <n v="6"/>
    <n v="0.17"/>
    <n v="322.07"/>
    <n v="86.82"/>
    <s v="profit"/>
  </r>
  <r>
    <s v="7330c7a3-6261-4fc8-a604-fe3dfccf65d6"/>
    <d v="2023-03-15T00:00:00"/>
    <d v="2023-03-17T00:00:00"/>
    <x v="1"/>
    <x v="10"/>
    <s v="Q2"/>
    <n v="2"/>
    <x v="0"/>
    <x v="5"/>
    <x v="2"/>
    <x v="5"/>
    <s v="Phones mean"/>
    <x v="508"/>
    <n v="3"/>
    <n v="0.19"/>
    <n v="540.6"/>
    <n v="153.82999999999993"/>
    <s v="profit"/>
  </r>
  <r>
    <s v="ba5e46e5-a8b4-47ce-ab32-758818910ba7"/>
    <d v="2022-12-15T00:00:00"/>
    <d v="2022-12-18T00:00:00"/>
    <x v="1"/>
    <x v="9"/>
    <s v="Q4"/>
    <n v="3"/>
    <x v="0"/>
    <x v="0"/>
    <x v="0"/>
    <x v="3"/>
    <s v="Bookcases military"/>
    <x v="509"/>
    <n v="8"/>
    <n v="0.32"/>
    <n v="-0.84"/>
    <n v="63.370000000000005"/>
    <s v="loss"/>
  </r>
  <r>
    <s v="aed54dc6-1a04-4bab-8e20-8b57130ccb44"/>
    <d v="2023-02-11T00:00:00"/>
    <d v="2023-02-12T00:00:00"/>
    <x v="3"/>
    <x v="6"/>
    <s v="Q1"/>
    <n v="1"/>
    <x v="2"/>
    <x v="4"/>
    <x v="1"/>
    <x v="1"/>
    <s v="Paper food"/>
    <x v="510"/>
    <n v="10"/>
    <n v="0.35"/>
    <n v="96.11"/>
    <n v="122.61"/>
    <s v="profit"/>
  </r>
  <r>
    <s v="c3432089-e5fa-43b5-9fac-fe0f42f88060"/>
    <d v="2024-05-28T00:00:00"/>
    <d v="2024-06-01T00:00:00"/>
    <x v="1"/>
    <x v="3"/>
    <s v="Q3"/>
    <n v="4"/>
    <x v="1"/>
    <x v="6"/>
    <x v="1"/>
    <x v="4"/>
    <s v="Pens medical"/>
    <x v="511"/>
    <n v="1"/>
    <n v="0.1"/>
    <n v="416.22"/>
    <n v="82.329999999999984"/>
    <s v="profit"/>
  </r>
  <r>
    <s v="0631e70b-fbee-43cc-8d9d-f1525f65a0ee"/>
    <d v="2023-09-01T00:00:00"/>
    <d v="2023-09-09T00:00:00"/>
    <x v="0"/>
    <x v="11"/>
    <s v="Q4"/>
    <n v="8"/>
    <x v="1"/>
    <x v="4"/>
    <x v="0"/>
    <x v="3"/>
    <s v="Bookcases machine"/>
    <x v="512"/>
    <n v="1"/>
    <n v="0.28000000000000003"/>
    <n v="649.70000000000005"/>
    <n v="294.8599999999999"/>
    <s v="profit"/>
  </r>
  <r>
    <s v="cbd9b8cc-ac3c-46e6-9413-069efec2e766"/>
    <d v="2023-05-25T00:00:00"/>
    <d v="2023-05-31T00:00:00"/>
    <x v="1"/>
    <x v="8"/>
    <s v="Q2"/>
    <n v="6"/>
    <x v="0"/>
    <x v="6"/>
    <x v="2"/>
    <x v="2"/>
    <s v="Accessories left"/>
    <x v="513"/>
    <n v="7"/>
    <n v="0.05"/>
    <n v="483.1"/>
    <n v="42.610000000000014"/>
    <s v="profit"/>
  </r>
  <r>
    <s v="d243a3e3-7a79-45d0-a13f-728e9702270a"/>
    <d v="2023-08-27T00:00:00"/>
    <d v="2023-09-05T00:00:00"/>
    <x v="1"/>
    <x v="11"/>
    <s v="Q4"/>
    <n v="9"/>
    <x v="0"/>
    <x v="4"/>
    <x v="1"/>
    <x v="4"/>
    <s v="Pens property"/>
    <x v="514"/>
    <n v="8"/>
    <n v="0.13"/>
    <n v="41.06"/>
    <n v="55.45"/>
    <s v="profit"/>
  </r>
  <r>
    <s v="7735cdbd-aab2-4a64-a4e4-8b81bd1ec99c"/>
    <d v="2024-10-15T00:00:00"/>
    <d v="2024-10-21T00:00:00"/>
    <x v="1"/>
    <x v="4"/>
    <s v="Q4"/>
    <n v="6"/>
    <x v="3"/>
    <x v="2"/>
    <x v="0"/>
    <x v="7"/>
    <s v="Chairs truth"/>
    <x v="515"/>
    <n v="9"/>
    <n v="0.45"/>
    <n v="335.32"/>
    <n v="329.07"/>
    <s v="profit"/>
  </r>
  <r>
    <s v="7d3f1051-e977-40e7-a9b6-de7e805d01a6"/>
    <d v="2024-03-08T00:00:00"/>
    <d v="2024-03-09T00:00:00"/>
    <x v="0"/>
    <x v="10"/>
    <s v="Q2"/>
    <n v="1"/>
    <x v="3"/>
    <x v="3"/>
    <x v="0"/>
    <x v="3"/>
    <s v="Bookcases raise"/>
    <x v="516"/>
    <n v="9"/>
    <n v="0.17"/>
    <n v="793.12"/>
    <n v="186.93999999999994"/>
    <s v="profit"/>
  </r>
  <r>
    <s v="1f6b37e3-6493-431e-b792-c383209ae98f"/>
    <d v="2023-02-02T00:00:00"/>
    <d v="2023-02-11T00:00:00"/>
    <x v="0"/>
    <x v="6"/>
    <s v="Q1"/>
    <n v="9"/>
    <x v="1"/>
    <x v="7"/>
    <x v="2"/>
    <x v="6"/>
    <s v="Laptops stock"/>
    <x v="517"/>
    <n v="10"/>
    <n v="0.34"/>
    <n v="560.47"/>
    <n v="359.06999999999994"/>
    <s v="profit"/>
  </r>
  <r>
    <s v="e530771a-d03e-4baf-9eb6-29e708f630af"/>
    <d v="2024-09-13T00:00:00"/>
    <d v="2024-09-20T00:00:00"/>
    <x v="1"/>
    <x v="11"/>
    <s v="Q4"/>
    <n v="7"/>
    <x v="3"/>
    <x v="6"/>
    <x v="2"/>
    <x v="6"/>
    <s v="Laptops paper"/>
    <x v="518"/>
    <n v="2"/>
    <n v="7.0000000000000007E-2"/>
    <n v="783.15"/>
    <n v="80.37"/>
    <s v="profit"/>
  </r>
  <r>
    <s v="764ee37b-7558-4962-bf3a-af2a0620c37b"/>
    <d v="2024-01-07T00:00:00"/>
    <d v="2024-01-16T00:00:00"/>
    <x v="0"/>
    <x v="0"/>
    <s v="Q1"/>
    <n v="9"/>
    <x v="1"/>
    <x v="2"/>
    <x v="1"/>
    <x v="1"/>
    <s v="Paper where"/>
    <x v="519"/>
    <n v="9"/>
    <n v="0.1"/>
    <n v="258.75"/>
    <n v="73.029999999999973"/>
    <s v="profit"/>
  </r>
  <r>
    <s v="89f60bb5-adc5-4f86-9b8c-56251d344157"/>
    <d v="2023-06-11T00:00:00"/>
    <d v="2023-06-13T00:00:00"/>
    <x v="0"/>
    <x v="3"/>
    <s v="Q3"/>
    <n v="2"/>
    <x v="1"/>
    <x v="3"/>
    <x v="1"/>
    <x v="4"/>
    <s v="Pens theory"/>
    <x v="520"/>
    <n v="8"/>
    <n v="0.38"/>
    <n v="269.52"/>
    <n v="189.31"/>
    <s v="profit"/>
  </r>
  <r>
    <s v="345f53c5-0c71-41d5-941e-f378e2ccaf9d"/>
    <d v="2024-07-17T00:00:00"/>
    <d v="2024-07-24T00:00:00"/>
    <x v="1"/>
    <x v="7"/>
    <s v="Q3"/>
    <n v="7"/>
    <x v="1"/>
    <x v="2"/>
    <x v="2"/>
    <x v="5"/>
    <s v="Phones over"/>
    <x v="521"/>
    <n v="5"/>
    <n v="0.49"/>
    <n v="433.71"/>
    <n v="493.48000000000008"/>
    <s v="profit"/>
  </r>
  <r>
    <s v="38ff2ac2-3fe9-46f1-adc8-9388978ab37b"/>
    <d v="2024-09-18T00:00:00"/>
    <d v="2024-09-20T00:00:00"/>
    <x v="0"/>
    <x v="11"/>
    <s v="Q4"/>
    <n v="2"/>
    <x v="2"/>
    <x v="5"/>
    <x v="1"/>
    <x v="4"/>
    <s v="Pens team"/>
    <x v="522"/>
    <n v="2"/>
    <n v="0.34"/>
    <n v="545.05999999999995"/>
    <n v="339.44000000000005"/>
    <s v="profit"/>
  </r>
  <r>
    <s v="17478f66-a8f0-48ba-8d58-a1bd8235025f"/>
    <m/>
    <d v="2024-04-18T00:00:00"/>
    <x v="0"/>
    <x v="1"/>
    <s v="Q2"/>
    <n v="45400"/>
    <x v="4"/>
    <x v="0"/>
    <x v="2"/>
    <x v="6"/>
    <s v="Laptops available"/>
    <x v="59"/>
    <n v="5"/>
    <n v="0.48"/>
    <n v="249.16"/>
    <e v="#VALUE!"/>
    <s v="profit"/>
  </r>
  <r>
    <s v="86c15297-dd6f-45a2-9966-1b90f8539295"/>
    <d v="2023-05-31T00:00:00"/>
    <d v="2023-06-07T00:00:00"/>
    <x v="2"/>
    <x v="3"/>
    <s v="Q3"/>
    <n v="7"/>
    <x v="0"/>
    <x v="4"/>
    <x v="2"/>
    <x v="6"/>
    <s v="Laptops politics"/>
    <x v="523"/>
    <n v="9"/>
    <n v="0.5"/>
    <n v="239.23"/>
    <n v="309.81999999999994"/>
    <s v="profit"/>
  </r>
  <r>
    <s v="7d87c5cc-e504-42ff-b9bf-ba1aafac4db3"/>
    <d v="2024-06-23T00:00:00"/>
    <d v="2024-06-28T00:00:00"/>
    <x v="1"/>
    <x v="3"/>
    <s v="Q3"/>
    <n v="5"/>
    <x v="1"/>
    <x v="1"/>
    <x v="0"/>
    <x v="3"/>
    <s v="Bookcases meet"/>
    <x v="524"/>
    <n v="5"/>
    <n v="0.13"/>
    <n v="413.49"/>
    <n v="110.75999999999999"/>
    <s v="profit"/>
  </r>
  <r>
    <s v="7f43c5a5-6288-4278-a50d-3e5ae005c8e7"/>
    <d v="2023-04-02T00:00:00"/>
    <d v="2023-04-02T00:00:00"/>
    <x v="0"/>
    <x v="1"/>
    <s v="Q2"/>
    <n v="0"/>
    <x v="1"/>
    <x v="6"/>
    <x v="2"/>
    <x v="5"/>
    <s v="Phones each"/>
    <x v="525"/>
    <n v="7"/>
    <n v="0.06"/>
    <n v="303.81"/>
    <n v="59.589999999999975"/>
    <s v="profit"/>
  </r>
  <r>
    <s v="114c2304-ef3f-4929-ba70-27e42fbe7375"/>
    <d v="2022-12-21T00:00:00"/>
    <d v="2022-12-28T00:00:00"/>
    <x v="1"/>
    <x v="9"/>
    <s v="Q4"/>
    <n v="7"/>
    <x v="0"/>
    <x v="4"/>
    <x v="1"/>
    <x v="1"/>
    <s v="Paper carry"/>
    <x v="526"/>
    <n v="2"/>
    <n v="0.28999999999999998"/>
    <n v="626.54999999999995"/>
    <n v="284.62"/>
    <s v="profit"/>
  </r>
  <r>
    <s v="befc0874-a067-43c7-b3ba-f375576c1595"/>
    <d v="2024-02-03T00:00:00"/>
    <d v="2024-02-05T00:00:00"/>
    <x v="3"/>
    <x v="6"/>
    <s v="Q1"/>
    <n v="2"/>
    <x v="1"/>
    <x v="3"/>
    <x v="2"/>
    <x v="6"/>
    <s v="Laptops all"/>
    <x v="527"/>
    <n v="10"/>
    <n v="0.22"/>
    <n v="179.02"/>
    <n v="107.29999999999998"/>
    <s v="profit"/>
  </r>
  <r>
    <s v="ee03919c-f841-494b-be56-8ff1adf4cb12"/>
    <d v="2023-10-30T00:00:00"/>
    <d v="2023-11-02T00:00:00"/>
    <x v="0"/>
    <x v="5"/>
    <s v="Q4"/>
    <n v="3"/>
    <x v="3"/>
    <x v="6"/>
    <x v="2"/>
    <x v="2"/>
    <s v="Accessories feel"/>
    <x v="528"/>
    <n v="3"/>
    <n v="0.23"/>
    <n v="179.22"/>
    <n v="105.54999999999998"/>
    <s v="profit"/>
  </r>
  <r>
    <s v="56fdefdd-adba-415a-8702-b810dd2988b1"/>
    <d v="2023-09-06T00:00:00"/>
    <d v="2023-09-14T00:00:00"/>
    <x v="1"/>
    <x v="11"/>
    <s v="Q4"/>
    <n v="8"/>
    <x v="0"/>
    <x v="4"/>
    <x v="1"/>
    <x v="1"/>
    <s v="Paper a"/>
    <x v="529"/>
    <n v="2"/>
    <n v="0.36"/>
    <n v="569.36"/>
    <n v="379.25"/>
    <s v="profit"/>
  </r>
  <r>
    <s v="192b613f-5a2b-496d-a850-2903f1a3c605"/>
    <d v="2024-05-12T00:00:00"/>
    <d v="2024-05-12T00:00:00"/>
    <x v="1"/>
    <x v="8"/>
    <s v="Q2"/>
    <n v="0"/>
    <x v="1"/>
    <x v="6"/>
    <x v="1"/>
    <x v="8"/>
    <s v="Binders no"/>
    <x v="530"/>
    <n v="3"/>
    <n v="0.2"/>
    <n v="478.24"/>
    <n v="160.33000000000004"/>
    <s v="profit"/>
  </r>
  <r>
    <s v="77589f3b-efef-415c-9453-227d238a0268"/>
    <d v="2024-06-29T00:00:00"/>
    <d v="2024-07-01T00:00:00"/>
    <x v="0"/>
    <x v="7"/>
    <s v="Q3"/>
    <n v="2"/>
    <x v="3"/>
    <x v="7"/>
    <x v="0"/>
    <x v="7"/>
    <s v="Chairs around"/>
    <x v="531"/>
    <n v="5"/>
    <n v="0.1"/>
    <n v="717.6"/>
    <n v="126.79999999999995"/>
    <s v="profit"/>
  </r>
  <r>
    <s v="996c5189-b2a4-48a1-a838-afca3c5e4b92"/>
    <d v="2024-03-09T00:00:00"/>
    <d v="2024-03-15T00:00:00"/>
    <x v="0"/>
    <x v="10"/>
    <s v="Q2"/>
    <n v="6"/>
    <x v="2"/>
    <x v="1"/>
    <x v="2"/>
    <x v="5"/>
    <s v="Phones direction"/>
    <x v="532"/>
    <n v="5"/>
    <n v="0.23"/>
    <n v="30.44"/>
    <n v="70.95"/>
    <s v="profit"/>
  </r>
  <r>
    <s v="a1fa9c63-5190-407c-9890-49735443669a"/>
    <d v="2024-09-03T00:00:00"/>
    <d v="2024-09-11T00:00:00"/>
    <x v="0"/>
    <x v="11"/>
    <s v="Q4"/>
    <n v="8"/>
    <x v="3"/>
    <x v="4"/>
    <x v="2"/>
    <x v="6"/>
    <s v="Laptops be"/>
    <x v="533"/>
    <n v="1"/>
    <n v="0.23"/>
    <n v="81.16"/>
    <n v="47.84"/>
    <s v="profit"/>
  </r>
  <r>
    <s v="725d3de8-6e1c-4b4e-ac82-41af58d3f087"/>
    <d v="2024-09-17T00:00:00"/>
    <d v="2024-09-20T00:00:00"/>
    <x v="0"/>
    <x v="11"/>
    <s v="Q4"/>
    <n v="3"/>
    <x v="3"/>
    <x v="4"/>
    <x v="0"/>
    <x v="3"/>
    <s v="Bookcases around"/>
    <x v="534"/>
    <n v="5"/>
    <n v="0.39"/>
    <n v="457.7"/>
    <n v="358.82"/>
    <s v="profit"/>
  </r>
  <r>
    <s v="de436728-1c8e-4d87-b2ca-a4fd1107038a"/>
    <d v="2024-08-08T00:00:00"/>
    <d v="2024-08-14T00:00:00"/>
    <x v="0"/>
    <x v="2"/>
    <s v="Q3"/>
    <n v="6"/>
    <x v="2"/>
    <x v="6"/>
    <x v="1"/>
    <x v="8"/>
    <s v="Binders mention"/>
    <x v="535"/>
    <n v="7"/>
    <n v="0.4"/>
    <n v="506.57"/>
    <n v="387.90000000000003"/>
    <s v="profit"/>
  </r>
  <r>
    <s v="6ca460cb-0f00-4d2c-8842-cbccf005078a"/>
    <d v="2024-01-05T00:00:00"/>
    <d v="2024-01-11T00:00:00"/>
    <x v="0"/>
    <x v="0"/>
    <s v="Q1"/>
    <n v="6"/>
    <x v="1"/>
    <x v="0"/>
    <x v="1"/>
    <x v="1"/>
    <s v="Paper experience"/>
    <x v="536"/>
    <n v="9"/>
    <n v="7.0000000000000007E-2"/>
    <n v="666.95"/>
    <n v="97.719999999999914"/>
    <s v="profit"/>
  </r>
  <r>
    <s v="5b34bbea-4868-4a22-81f2-b8edad97bc04"/>
    <d v="2023-05-16T00:00:00"/>
    <d v="2023-05-21T00:00:00"/>
    <x v="0"/>
    <x v="8"/>
    <s v="Q2"/>
    <n v="5"/>
    <x v="0"/>
    <x v="6"/>
    <x v="2"/>
    <x v="5"/>
    <s v="Phones fire"/>
    <x v="537"/>
    <n v="2"/>
    <n v="0.12"/>
    <n v="62.04"/>
    <n v="46.169999999999995"/>
    <s v="profit"/>
  </r>
  <r>
    <s v="fd505b12-76a5-49de-b6a7-ca3ea49cd3b8"/>
    <d v="2024-07-05T00:00:00"/>
    <d v="2024-07-12T00:00:00"/>
    <x v="1"/>
    <x v="7"/>
    <s v="Q3"/>
    <n v="7"/>
    <x v="3"/>
    <x v="2"/>
    <x v="1"/>
    <x v="1"/>
    <s v="Paper different"/>
    <x v="538"/>
    <n v="9"/>
    <n v="0.35"/>
    <n v="325.04000000000002"/>
    <n v="251.01999999999992"/>
    <s v="profit"/>
  </r>
  <r>
    <s v="b748c0ad-c5a4-4d12-bc99-49fd024dc176"/>
    <d v="2024-06-29T00:00:00"/>
    <d v="2024-06-30T00:00:00"/>
    <x v="0"/>
    <x v="3"/>
    <s v="Q3"/>
    <n v="1"/>
    <x v="0"/>
    <x v="4"/>
    <x v="0"/>
    <x v="7"/>
    <s v="Chairs attention"/>
    <x v="539"/>
    <n v="1"/>
    <n v="0.41"/>
    <n v="122.8"/>
    <n v="141.42000000000002"/>
    <s v="profit"/>
  </r>
  <r>
    <s v="e5cd5b4b-1fb3-410d-a770-ee82a7427143"/>
    <d v="2024-10-25T00:00:00"/>
    <d v="2024-10-26T00:00:00"/>
    <x v="0"/>
    <x v="4"/>
    <s v="Q4"/>
    <n v="1"/>
    <x v="1"/>
    <x v="4"/>
    <x v="1"/>
    <x v="1"/>
    <s v="Paper subject"/>
    <x v="540"/>
    <n v="10"/>
    <n v="0.49"/>
    <n v="455.97"/>
    <n v="479.47"/>
    <s v="profit"/>
  </r>
  <r>
    <s v="684657ad-c031-4642-b52e-26b36ed4f8dc"/>
    <d v="2023-05-18T00:00:00"/>
    <d v="2023-05-21T00:00:00"/>
    <x v="0"/>
    <x v="8"/>
    <s v="Q2"/>
    <n v="3"/>
    <x v="2"/>
    <x v="1"/>
    <x v="1"/>
    <x v="4"/>
    <s v="Pens third"/>
    <x v="541"/>
    <n v="8"/>
    <n v="0.38"/>
    <n v="239.02"/>
    <n v="197.45000000000002"/>
    <s v="profit"/>
  </r>
  <r>
    <s v="58cb0da0-2321-4dcb-ab90-8217ca6e23bf"/>
    <d v="2023-04-02T00:00:00"/>
    <d v="2023-04-10T00:00:00"/>
    <x v="1"/>
    <x v="1"/>
    <s v="Q2"/>
    <n v="8"/>
    <x v="0"/>
    <x v="3"/>
    <x v="2"/>
    <x v="6"/>
    <s v="Laptops adult"/>
    <x v="542"/>
    <n v="10"/>
    <n v="0.15"/>
    <n v="306.18"/>
    <n v="87.93"/>
    <s v="profit"/>
  </r>
  <r>
    <s v="82a02c26-401e-4ae8-a9f3-2711554938cd"/>
    <d v="2023-02-25T00:00:00"/>
    <d v="2023-03-01T00:00:00"/>
    <x v="1"/>
    <x v="10"/>
    <s v="Q2"/>
    <n v="4"/>
    <x v="0"/>
    <x v="0"/>
    <x v="2"/>
    <x v="6"/>
    <s v="Laptops lose"/>
    <x v="543"/>
    <n v="3"/>
    <n v="0.38"/>
    <n v="385.49"/>
    <n v="259.47000000000003"/>
    <s v="profit"/>
  </r>
  <r>
    <s v="f820fc6b-a1c2-4747-b10d-0ff29b2babe5"/>
    <d v="2024-01-12T00:00:00"/>
    <d v="2024-01-21T00:00:00"/>
    <x v="1"/>
    <x v="0"/>
    <s v="Q1"/>
    <n v="9"/>
    <x v="2"/>
    <x v="1"/>
    <x v="2"/>
    <x v="5"/>
    <s v="Phones continue"/>
    <x v="544"/>
    <n v="10"/>
    <n v="0.44"/>
    <n v="136.69"/>
    <n v="164.08999999999997"/>
    <s v="profit"/>
  </r>
  <r>
    <s v="1bee4b72-4e53-40fc-870c-c8f743a467c7"/>
    <d v="2023-07-30T00:00:00"/>
    <d v="2023-08-05T00:00:00"/>
    <x v="0"/>
    <x v="2"/>
    <s v="Q3"/>
    <n v="6"/>
    <x v="2"/>
    <x v="5"/>
    <x v="2"/>
    <x v="2"/>
    <s v="Accessories go"/>
    <x v="545"/>
    <n v="3"/>
    <n v="7.0000000000000007E-2"/>
    <n v="355.72"/>
    <n v="53.309999999999945"/>
    <s v="profit"/>
  </r>
  <r>
    <s v="3bfe2d66-17b2-4484-9cc0-fc597129823c"/>
    <d v="2023-12-18T00:00:00"/>
    <d v="2023-12-22T00:00:00"/>
    <x v="1"/>
    <x v="9"/>
    <s v="Q4"/>
    <n v="4"/>
    <x v="1"/>
    <x v="2"/>
    <x v="2"/>
    <x v="6"/>
    <s v="Laptops recently"/>
    <x v="546"/>
    <n v="10"/>
    <n v="0.12"/>
    <n v="167.76"/>
    <n v="58.54000000000002"/>
    <s v="profit"/>
  </r>
  <r>
    <s v="00ea4db8-8917-4f7a-9c1e-239a08ae68a1"/>
    <d v="2024-10-02T00:00:00"/>
    <d v="2024-10-11T00:00:00"/>
    <x v="1"/>
    <x v="4"/>
    <s v="Q4"/>
    <n v="9"/>
    <x v="2"/>
    <x v="5"/>
    <x v="1"/>
    <x v="8"/>
    <s v="Binders surface"/>
    <x v="547"/>
    <n v="9"/>
    <n v="0.38"/>
    <n v="295.76"/>
    <n v="248.70000000000005"/>
    <s v="profit"/>
  </r>
  <r>
    <s v="09324a43-6660-44d3-b8e2-2eae07115793"/>
    <d v="2023-01-09T00:00:00"/>
    <d v="2023-01-14T00:00:00"/>
    <x v="0"/>
    <x v="0"/>
    <s v="Q1"/>
    <n v="5"/>
    <x v="0"/>
    <x v="1"/>
    <x v="0"/>
    <x v="3"/>
    <s v="Bookcases property"/>
    <x v="548"/>
    <n v="3"/>
    <n v="0.35"/>
    <n v="254.82"/>
    <n v="183.55"/>
    <s v="profit"/>
  </r>
  <r>
    <s v="e5e0566c-6d65-457d-9325-8bdff93b2547"/>
    <d v="2022-12-31T00:00:00"/>
    <d v="2023-01-06T00:00:00"/>
    <x v="1"/>
    <x v="0"/>
    <s v="Q1"/>
    <n v="6"/>
    <x v="2"/>
    <x v="7"/>
    <x v="1"/>
    <x v="8"/>
    <s v="Binders owner"/>
    <x v="549"/>
    <n v="4"/>
    <n v="0.43"/>
    <n v="214.21"/>
    <n v="213.80999999999997"/>
    <s v="profit"/>
  </r>
  <r>
    <s v="b40d3ea1-74e3-4d0b-855e-85295637afe1"/>
    <d v="2023-07-20T00:00:00"/>
    <d v="2023-07-20T00:00:00"/>
    <x v="3"/>
    <x v="7"/>
    <s v="Q3"/>
    <n v="0"/>
    <x v="2"/>
    <x v="2"/>
    <x v="0"/>
    <x v="3"/>
    <s v="Bookcases toward"/>
    <x v="550"/>
    <n v="6"/>
    <n v="0.34"/>
    <n v="370.19"/>
    <n v="210.3"/>
    <s v="profit"/>
  </r>
  <r>
    <s v="a7b9c7d7-1a2a-471f-b28b-f840295203ee"/>
    <d v="2024-08-07T00:00:00"/>
    <d v="2024-08-11T00:00:00"/>
    <x v="1"/>
    <x v="2"/>
    <s v="Q3"/>
    <n v="4"/>
    <x v="3"/>
    <x v="0"/>
    <x v="0"/>
    <x v="3"/>
    <s v="Bookcases where"/>
    <x v="551"/>
    <n v="6"/>
    <n v="0.2"/>
    <n v="608.75"/>
    <n v="188.65999999999997"/>
    <s v="profit"/>
  </r>
  <r>
    <s v="720dd4cc-089f-4aae-a8fa-5ca62b365d92"/>
    <d v="2023-12-26T00:00:00"/>
    <d v="2023-12-30T00:00:00"/>
    <x v="0"/>
    <x v="9"/>
    <s v="Q4"/>
    <n v="4"/>
    <x v="1"/>
    <x v="1"/>
    <x v="1"/>
    <x v="1"/>
    <s v="Paper wrong"/>
    <x v="552"/>
    <n v="10"/>
    <n v="0.17"/>
    <n v="744.68"/>
    <n v="206.48000000000002"/>
    <s v="profit"/>
  </r>
  <r>
    <s v="0d7eb95b-d788-4523-9656-1b567a98df8d"/>
    <d v="2023-03-21T00:00:00"/>
    <d v="2023-03-25T00:00:00"/>
    <x v="1"/>
    <x v="10"/>
    <s v="Q2"/>
    <n v="4"/>
    <x v="0"/>
    <x v="7"/>
    <x v="2"/>
    <x v="5"/>
    <s v="Phones war"/>
    <x v="553"/>
    <n v="1"/>
    <n v="0.33"/>
    <n v="36.53"/>
    <n v="64.2"/>
    <s v="profit"/>
  </r>
  <r>
    <s v="1743ad94-fc1d-407e-85f0-d187c44d9710"/>
    <d v="2023-05-30T00:00:00"/>
    <d v="2023-06-01T00:00:00"/>
    <x v="1"/>
    <x v="3"/>
    <s v="Q3"/>
    <n v="2"/>
    <x v="2"/>
    <x v="3"/>
    <x v="0"/>
    <x v="7"/>
    <s v="Chairs ahead"/>
    <x v="554"/>
    <n v="10"/>
    <n v="0.13"/>
    <n v="529.83000000000004"/>
    <n v="108.09999999999991"/>
    <s v="profit"/>
  </r>
  <r>
    <s v="f6235f39-7e92-401d-a485-c9d8e10f39e7"/>
    <d v="2023-08-18T00:00:00"/>
    <d v="2023-08-24T00:00:00"/>
    <x v="1"/>
    <x v="2"/>
    <s v="Q3"/>
    <n v="6"/>
    <x v="0"/>
    <x v="2"/>
    <x v="2"/>
    <x v="2"/>
    <s v="Accessories try"/>
    <x v="555"/>
    <n v="8"/>
    <n v="0.22"/>
    <n v="367.43"/>
    <n v="126.65999999999997"/>
    <s v="profit"/>
  </r>
  <r>
    <s v="a1394054-dca9-499c-ab8b-9c44254fab21"/>
    <d v="2024-11-23T00:00:00"/>
    <d v="2024-11-27T00:00:00"/>
    <x v="1"/>
    <x v="5"/>
    <s v="Q4"/>
    <n v="4"/>
    <x v="2"/>
    <x v="3"/>
    <x v="2"/>
    <x v="2"/>
    <s v="Accessories good"/>
    <x v="556"/>
    <n v="2"/>
    <n v="0.44"/>
    <n v="376.56"/>
    <n v="333.88000000000005"/>
    <s v="profit"/>
  </r>
  <r>
    <s v="e1fae46d-a795-49b3-a79c-77611fa971d7"/>
    <m/>
    <d v="2024-03-18T00:00:00"/>
    <x v="0"/>
    <x v="10"/>
    <s v="Q2"/>
    <n v="45369"/>
    <x v="4"/>
    <x v="6"/>
    <x v="1"/>
    <x v="1"/>
    <s v="Paper increase"/>
    <x v="59"/>
    <n v="7"/>
    <n v="0.37"/>
    <n v="239.37"/>
    <e v="#VALUE!"/>
    <s v="profit"/>
  </r>
  <r>
    <s v="10184f93-d610-46ae-8fb1-cd849aee9160"/>
    <d v="2022-12-07T00:00:00"/>
    <d v="2022-12-16T00:00:00"/>
    <x v="2"/>
    <x v="9"/>
    <s v="Q4"/>
    <n v="9"/>
    <x v="1"/>
    <x v="2"/>
    <x v="1"/>
    <x v="4"/>
    <s v="Pens tell"/>
    <x v="557"/>
    <n v="8"/>
    <n v="0.48"/>
    <n v="-2.64"/>
    <n v="75.930000000000007"/>
    <s v="loss"/>
  </r>
  <r>
    <s v="4c0c002b-83cc-43df-b101-d9cbd88c00f1"/>
    <d v="2024-07-31T00:00:00"/>
    <d v="2024-08-09T00:00:00"/>
    <x v="3"/>
    <x v="2"/>
    <s v="Q3"/>
    <n v="9"/>
    <x v="1"/>
    <x v="4"/>
    <x v="1"/>
    <x v="8"/>
    <s v="Binders opportunity"/>
    <x v="558"/>
    <n v="2"/>
    <n v="0.23"/>
    <n v="494.62"/>
    <n v="190.12"/>
    <s v="profit"/>
  </r>
  <r>
    <s v="700ea655-48b7-4dc6-9eff-004e176961fa"/>
    <d v="2023-08-23T00:00:00"/>
    <d v="2023-08-31T00:00:00"/>
    <x v="0"/>
    <x v="2"/>
    <s v="Q3"/>
    <n v="8"/>
    <x v="1"/>
    <x v="3"/>
    <x v="2"/>
    <x v="2"/>
    <s v="Accessories model"/>
    <x v="559"/>
    <n v="10"/>
    <n v="0.42"/>
    <n v="141.94999999999999"/>
    <n v="162.75"/>
    <s v="profit"/>
  </r>
  <r>
    <s v="cdc761a7-2a76-4727-9759-fad27a484791"/>
    <d v="2023-03-08T00:00:00"/>
    <d v="2023-03-16T00:00:00"/>
    <x v="1"/>
    <x v="10"/>
    <s v="Q2"/>
    <n v="8"/>
    <x v="1"/>
    <x v="2"/>
    <x v="1"/>
    <x v="4"/>
    <s v="Pens yard"/>
    <x v="560"/>
    <n v="1"/>
    <n v="0.41"/>
    <n v="468.84"/>
    <n v="358.7"/>
    <s v="profit"/>
  </r>
  <r>
    <s v="f6d4a19f-790f-4896-8034-5d92c99f0ee8"/>
    <d v="2024-05-17T00:00:00"/>
    <d v="2024-05-17T00:00:00"/>
    <x v="1"/>
    <x v="8"/>
    <s v="Q2"/>
    <n v="0"/>
    <x v="3"/>
    <x v="6"/>
    <x v="1"/>
    <x v="1"/>
    <s v="Paper wish"/>
    <x v="561"/>
    <n v="9"/>
    <n v="0.09"/>
    <n v="29.68"/>
    <n v="47.82"/>
    <s v="profit"/>
  </r>
  <r>
    <s v="fe1c8024-e64d-4e43-8700-14b552d26678"/>
    <d v="2024-09-06T00:00:00"/>
    <d v="2024-09-08T00:00:00"/>
    <x v="0"/>
    <x v="11"/>
    <s v="Q4"/>
    <n v="2"/>
    <x v="0"/>
    <x v="1"/>
    <x v="1"/>
    <x v="1"/>
    <s v="Paper during"/>
    <x v="562"/>
    <n v="6"/>
    <n v="0.36"/>
    <n v="487.47"/>
    <n v="307.10000000000002"/>
    <s v="profit"/>
  </r>
  <r>
    <s v="e75c936f-2987-4608-9b63-246c736685bf"/>
    <d v="2024-02-24T00:00:00"/>
    <d v="2024-02-24T00:00:00"/>
    <x v="0"/>
    <x v="6"/>
    <s v="Q1"/>
    <n v="0"/>
    <x v="0"/>
    <x v="2"/>
    <x v="2"/>
    <x v="5"/>
    <s v="Phones energy"/>
    <x v="563"/>
    <n v="2"/>
    <n v="0.33"/>
    <n v="422.63"/>
    <n v="263.71000000000004"/>
    <s v="profit"/>
  </r>
  <r>
    <s v="5a4e6379-a2de-4905-bf4e-57991a91a7ca"/>
    <d v="2024-05-27T00:00:00"/>
    <d v="2024-06-02T00:00:00"/>
    <x v="0"/>
    <x v="3"/>
    <s v="Q3"/>
    <n v="6"/>
    <x v="3"/>
    <x v="2"/>
    <x v="0"/>
    <x v="0"/>
    <s v="Tables various"/>
    <x v="564"/>
    <n v="9"/>
    <n v="0.22"/>
    <n v="56.44"/>
    <n v="77.140000000000015"/>
    <s v="profit"/>
  </r>
  <r>
    <s v="36fab53a-1b68-455a-9abb-f252eba9b58e"/>
    <d v="2023-04-14T00:00:00"/>
    <d v="2023-04-21T00:00:00"/>
    <x v="0"/>
    <x v="1"/>
    <s v="Q2"/>
    <n v="7"/>
    <x v="1"/>
    <x v="3"/>
    <x v="1"/>
    <x v="1"/>
    <s v="Paper turn"/>
    <x v="565"/>
    <n v="10"/>
    <n v="0.32"/>
    <n v="297.01"/>
    <n v="198.28000000000003"/>
    <s v="profit"/>
  </r>
  <r>
    <s v="40ee76cc-0ca6-4b6f-b6a6-c704feb18166"/>
    <d v="2024-06-01T00:00:00"/>
    <d v="2024-06-07T00:00:00"/>
    <x v="1"/>
    <x v="3"/>
    <s v="Q3"/>
    <n v="6"/>
    <x v="1"/>
    <x v="3"/>
    <x v="0"/>
    <x v="7"/>
    <s v="Chairs always"/>
    <x v="566"/>
    <n v="4"/>
    <n v="0.45"/>
    <n v="221.02"/>
    <n v="208.61999999999998"/>
    <s v="profit"/>
  </r>
  <r>
    <s v="f8ecfdd3-60e7-4f5f-a90f-981c22f14647"/>
    <d v="2023-03-11T00:00:00"/>
    <d v="2023-03-12T00:00:00"/>
    <x v="0"/>
    <x v="10"/>
    <s v="Q2"/>
    <n v="1"/>
    <x v="3"/>
    <x v="0"/>
    <x v="2"/>
    <x v="5"/>
    <s v="Phones change"/>
    <x v="567"/>
    <n v="9"/>
    <n v="0.44"/>
    <n v="113.93"/>
    <n v="121.82"/>
    <s v="profit"/>
  </r>
  <r>
    <s v="123d93c0-d33f-4057-b616-2c92efb6e936"/>
    <d v="2023-11-07T00:00:00"/>
    <d v="2023-11-07T00:00:00"/>
    <x v="1"/>
    <x v="5"/>
    <s v="Q4"/>
    <n v="0"/>
    <x v="0"/>
    <x v="1"/>
    <x v="0"/>
    <x v="3"/>
    <s v="Bookcases national"/>
    <x v="568"/>
    <n v="10"/>
    <n v="0.25"/>
    <n v="218.37"/>
    <n v="121.45999999999998"/>
    <s v="profit"/>
  </r>
  <r>
    <s v="e9014d53-0dc3-494c-92ed-903027ea63b8"/>
    <d v="2023-12-14T00:00:00"/>
    <d v="2023-12-14T00:00:00"/>
    <x v="1"/>
    <x v="9"/>
    <s v="Q4"/>
    <n v="0"/>
    <x v="2"/>
    <x v="7"/>
    <x v="0"/>
    <x v="7"/>
    <s v="Chairs western"/>
    <x v="569"/>
    <n v="4"/>
    <n v="0.28999999999999998"/>
    <n v="134.84"/>
    <n v="103.94"/>
    <s v="profit"/>
  </r>
  <r>
    <s v="7e94da04-0e2e-452e-93d8-303abf5b79ab"/>
    <d v="2024-03-12T00:00:00"/>
    <d v="2024-03-13T00:00:00"/>
    <x v="1"/>
    <x v="10"/>
    <s v="Q2"/>
    <n v="1"/>
    <x v="2"/>
    <x v="2"/>
    <x v="2"/>
    <x v="2"/>
    <s v="Accessories imagine"/>
    <x v="570"/>
    <n v="7"/>
    <n v="0.17"/>
    <n v="81.709999999999994"/>
    <n v="63.030000000000015"/>
    <s v="profit"/>
  </r>
  <r>
    <s v="712bd0d9-335c-4967-8e40-6246964d4510"/>
    <d v="2024-06-15T00:00:00"/>
    <d v="2024-06-21T00:00:00"/>
    <x v="0"/>
    <x v="3"/>
    <s v="Q3"/>
    <n v="6"/>
    <x v="0"/>
    <x v="0"/>
    <x v="0"/>
    <x v="0"/>
    <s v="Tables serious"/>
    <x v="571"/>
    <n v="2"/>
    <n v="0.1"/>
    <n v="463.58"/>
    <n v="67.620000000000061"/>
    <s v="profit"/>
  </r>
  <r>
    <s v="201a7c10-9d07-418a-a1f6-78d12746a04f"/>
    <d v="2023-08-08T00:00:00"/>
    <d v="2023-08-14T00:00:00"/>
    <x v="0"/>
    <x v="2"/>
    <s v="Q3"/>
    <n v="6"/>
    <x v="3"/>
    <x v="0"/>
    <x v="1"/>
    <x v="4"/>
    <s v="Pens shoulder"/>
    <x v="572"/>
    <n v="4"/>
    <n v="0.32"/>
    <n v="520.94000000000005"/>
    <n v="307.95999999999992"/>
    <s v="profit"/>
  </r>
  <r>
    <s v="70a68019-03d6-4e2f-accc-e3e13cdd316b"/>
    <m/>
    <d v="2024-02-18T00:00:00"/>
    <x v="1"/>
    <x v="6"/>
    <s v="Q1"/>
    <n v="45340"/>
    <x v="4"/>
    <x v="5"/>
    <x v="2"/>
    <x v="6"/>
    <s v="Laptops get"/>
    <x v="59"/>
    <n v="6"/>
    <n v="0.44"/>
    <n v="181.35"/>
    <e v="#VALUE!"/>
    <s v="profit"/>
  </r>
  <r>
    <s v="e7d56db4-33bc-4d39-8671-f8cef2d48c69"/>
    <d v="2023-11-27T00:00:00"/>
    <d v="2023-12-06T00:00:00"/>
    <x v="2"/>
    <x v="9"/>
    <s v="Q4"/>
    <n v="9"/>
    <x v="2"/>
    <x v="3"/>
    <x v="1"/>
    <x v="4"/>
    <s v="Pens thus"/>
    <x v="573"/>
    <n v="2"/>
    <n v="0.38"/>
    <n v="91.3"/>
    <n v="112.69000000000001"/>
    <s v="profit"/>
  </r>
  <r>
    <s v="9775bc92-7934-45b6-a0c1-90b14ad4b977"/>
    <d v="2024-09-14T00:00:00"/>
    <d v="2024-09-20T00:00:00"/>
    <x v="1"/>
    <x v="11"/>
    <s v="Q4"/>
    <n v="6"/>
    <x v="3"/>
    <x v="5"/>
    <x v="1"/>
    <x v="4"/>
    <s v="Pens establish"/>
    <x v="574"/>
    <n v="5"/>
    <n v="0.17"/>
    <n v="214.98"/>
    <n v="75.169999999999987"/>
    <s v="profit"/>
  </r>
  <r>
    <s v="fed30574-01e8-4e0b-b619-b1f449bfe896"/>
    <d v="2024-10-05T00:00:00"/>
    <d v="2024-10-10T00:00:00"/>
    <x v="0"/>
    <x v="4"/>
    <s v="Q4"/>
    <n v="5"/>
    <x v="0"/>
    <x v="2"/>
    <x v="2"/>
    <x v="6"/>
    <s v="Laptops letter"/>
    <x v="575"/>
    <n v="3"/>
    <n v="0.39"/>
    <n v="106.03"/>
    <n v="111.55000000000001"/>
    <s v="profit"/>
  </r>
  <r>
    <s v="99aee49b-292d-4618-b71c-bb80bbe2d952"/>
    <d v="2024-06-13T00:00:00"/>
    <d v="2024-06-15T00:00:00"/>
    <x v="0"/>
    <x v="3"/>
    <s v="Q3"/>
    <n v="2"/>
    <x v="1"/>
    <x v="2"/>
    <x v="2"/>
    <x v="5"/>
    <s v="Phones reveal"/>
    <x v="576"/>
    <n v="7"/>
    <n v="0.49"/>
    <n v="374.37"/>
    <n v="390"/>
    <s v="profit"/>
  </r>
  <r>
    <s v="4480dd31-ae07-4f44-b76a-5edb31eadd6d"/>
    <d v="2023-06-13T00:00:00"/>
    <d v="2023-06-20T00:00:00"/>
    <x v="0"/>
    <x v="3"/>
    <s v="Q3"/>
    <n v="7"/>
    <x v="3"/>
    <x v="7"/>
    <x v="1"/>
    <x v="4"/>
    <s v="Pens until"/>
    <x v="577"/>
    <n v="6"/>
    <n v="0.06"/>
    <n v="40.700000000000003"/>
    <n v="36.22"/>
    <s v="profit"/>
  </r>
  <r>
    <s v="bf49e5ef-d371-4aa8-820b-c6b6de049ad6"/>
    <d v="2023-03-09T00:00:00"/>
    <d v="2023-03-13T00:00:00"/>
    <x v="1"/>
    <x v="10"/>
    <s v="Q2"/>
    <n v="4"/>
    <x v="1"/>
    <x v="4"/>
    <x v="1"/>
    <x v="8"/>
    <s v="Binders kid"/>
    <x v="578"/>
    <n v="4"/>
    <n v="0.03"/>
    <n v="204.48"/>
    <n v="47.77000000000001"/>
    <s v="profit"/>
  </r>
  <r>
    <s v="110e6d75-4019-4e5e-b3e9-5c16c3eae9b4"/>
    <d v="2024-10-06T00:00:00"/>
    <d v="2024-10-15T00:00:00"/>
    <x v="1"/>
    <x v="4"/>
    <s v="Q4"/>
    <n v="9"/>
    <x v="0"/>
    <x v="2"/>
    <x v="0"/>
    <x v="0"/>
    <s v="Tables society"/>
    <x v="579"/>
    <n v="9"/>
    <n v="0.44"/>
    <n v="115.86"/>
    <n v="141.89999999999998"/>
    <s v="profit"/>
  </r>
  <r>
    <s v="ef846c9c-2dc9-45a2-8949-18d0eac27267"/>
    <d v="2024-09-17T00:00:00"/>
    <d v="2024-09-24T00:00:00"/>
    <x v="0"/>
    <x v="11"/>
    <s v="Q4"/>
    <n v="7"/>
    <x v="2"/>
    <x v="5"/>
    <x v="2"/>
    <x v="2"/>
    <s v="Accessories hold"/>
    <x v="580"/>
    <n v="5"/>
    <n v="0.3"/>
    <n v="454.03"/>
    <n v="209.51"/>
    <s v="profit"/>
  </r>
  <r>
    <s v="a68f1aa3-a938-4e79-97cb-44cc67fd8ac9"/>
    <d v="2024-06-08T00:00:00"/>
    <d v="2024-06-10T00:00:00"/>
    <x v="0"/>
    <x v="3"/>
    <s v="Q3"/>
    <n v="2"/>
    <x v="2"/>
    <x v="2"/>
    <x v="0"/>
    <x v="7"/>
    <s v="Chairs certainly"/>
    <x v="581"/>
    <n v="5"/>
    <n v="0.03"/>
    <n v="571.29"/>
    <n v="67.960000000000036"/>
    <s v="profit"/>
  </r>
  <r>
    <s v="36d80764-ac3c-4a99-905b-09dd65b7741d"/>
    <d v="2023-05-27T00:00:00"/>
    <d v="2023-06-04T00:00:00"/>
    <x v="0"/>
    <x v="3"/>
    <s v="Q3"/>
    <n v="8"/>
    <x v="0"/>
    <x v="5"/>
    <x v="0"/>
    <x v="0"/>
    <s v="Tables report"/>
    <x v="582"/>
    <n v="5"/>
    <n v="0.25"/>
    <n v="598.34"/>
    <n v="255.24"/>
    <s v="profit"/>
  </r>
  <r>
    <s v="f9909b6e-e6a0-4fc8-bd62-74b1d24bcf87"/>
    <d v="2024-04-30T00:00:00"/>
    <d v="2024-05-05T00:00:00"/>
    <x v="1"/>
    <x v="8"/>
    <s v="Q2"/>
    <n v="5"/>
    <x v="1"/>
    <x v="5"/>
    <x v="1"/>
    <x v="8"/>
    <s v="Binders reflect"/>
    <x v="583"/>
    <n v="1"/>
    <n v="7.0000000000000007E-2"/>
    <n v="272.68"/>
    <n v="67.5"/>
    <s v="profit"/>
  </r>
  <r>
    <s v="6c12bcf0-6c74-4aac-ba7d-da0a0baa068b"/>
    <d v="2022-12-20T00:00:00"/>
    <d v="2022-12-20T00:00:00"/>
    <x v="0"/>
    <x v="9"/>
    <s v="Q4"/>
    <n v="0"/>
    <x v="2"/>
    <x v="4"/>
    <x v="2"/>
    <x v="6"/>
    <s v="Laptops follow"/>
    <x v="584"/>
    <n v="3"/>
    <n v="0.39"/>
    <n v="167.97"/>
    <n v="144.60999999999999"/>
    <s v="profit"/>
  </r>
  <r>
    <s v="02734b95-26c0-445d-aed2-15929b5e5fb6"/>
    <d v="2024-06-06T00:00:00"/>
    <d v="2024-06-13T00:00:00"/>
    <x v="3"/>
    <x v="3"/>
    <s v="Q3"/>
    <n v="7"/>
    <x v="1"/>
    <x v="2"/>
    <x v="0"/>
    <x v="3"/>
    <s v="Bookcases available"/>
    <x v="585"/>
    <n v="2"/>
    <n v="0.15"/>
    <n v="793.11"/>
    <n v="164.28999999999996"/>
    <s v="profit"/>
  </r>
  <r>
    <s v="c907b802-624c-46b1-a629-3b3b24977d34"/>
    <d v="2022-12-24T00:00:00"/>
    <d v="2022-12-25T00:00:00"/>
    <x v="0"/>
    <x v="9"/>
    <s v="Q4"/>
    <n v="1"/>
    <x v="3"/>
    <x v="7"/>
    <x v="1"/>
    <x v="8"/>
    <s v="Binders between"/>
    <x v="586"/>
    <n v="10"/>
    <n v="0.16"/>
    <n v="605.95000000000005"/>
    <n v="138.88"/>
    <s v="profit"/>
  </r>
  <r>
    <s v="2ac236c6-c60e-44bb-86bd-ec3e3ac872c3"/>
    <d v="2023-07-17T00:00:00"/>
    <d v="2023-07-23T00:00:00"/>
    <x v="3"/>
    <x v="7"/>
    <s v="Q3"/>
    <n v="6"/>
    <x v="2"/>
    <x v="3"/>
    <x v="1"/>
    <x v="4"/>
    <s v="Pens church"/>
    <x v="587"/>
    <n v="9"/>
    <n v="0.17"/>
    <n v="776.65"/>
    <n v="189.60000000000002"/>
    <s v="profit"/>
  </r>
  <r>
    <s v="781138fe-9997-4fc5-a530-f6e3a961d03b"/>
    <d v="2023-12-14T00:00:00"/>
    <d v="2023-12-14T00:00:00"/>
    <x v="1"/>
    <x v="9"/>
    <s v="Q4"/>
    <n v="0"/>
    <x v="3"/>
    <x v="7"/>
    <x v="2"/>
    <x v="6"/>
    <s v="Laptops least"/>
    <x v="588"/>
    <n v="10"/>
    <n v="0.03"/>
    <n v="247.36"/>
    <n v="25.680000000000007"/>
    <s v="profit"/>
  </r>
  <r>
    <s v="ea67f0c9-efe5-4cd8-a0fb-aa3a672953fe"/>
    <d v="2024-05-14T00:00:00"/>
    <d v="2024-05-17T00:00:00"/>
    <x v="1"/>
    <x v="8"/>
    <s v="Q2"/>
    <n v="3"/>
    <x v="2"/>
    <x v="6"/>
    <x v="0"/>
    <x v="0"/>
    <s v="Tables effort"/>
    <x v="589"/>
    <n v="6"/>
    <n v="0.06"/>
    <n v="241.16"/>
    <n v="60.200000000000017"/>
    <s v="profit"/>
  </r>
  <r>
    <s v="ad43a3ed-d4d8-48e6-a4e0-215cea44ec3b"/>
    <d v="2024-10-30T00:00:00"/>
    <d v="2024-11-05T00:00:00"/>
    <x v="0"/>
    <x v="5"/>
    <s v="Q4"/>
    <n v="6"/>
    <x v="0"/>
    <x v="6"/>
    <x v="0"/>
    <x v="3"/>
    <s v="Bookcases little"/>
    <x v="590"/>
    <n v="7"/>
    <n v="0.38"/>
    <n v="506.61"/>
    <n v="390.19999999999993"/>
    <s v="profit"/>
  </r>
  <r>
    <s v="d787cbec-ec4f-4a34-af7b-684c6e31c3c2"/>
    <d v="2024-06-19T00:00:00"/>
    <d v="2024-06-27T00:00:00"/>
    <x v="0"/>
    <x v="3"/>
    <s v="Q3"/>
    <n v="8"/>
    <x v="1"/>
    <x v="1"/>
    <x v="0"/>
    <x v="3"/>
    <s v="Bookcases population"/>
    <x v="591"/>
    <n v="10"/>
    <n v="0.16"/>
    <n v="48.26"/>
    <n v="23.080000000000005"/>
    <s v="profit"/>
  </r>
  <r>
    <s v="fca054c3-54f2-40bc-b47f-cbfa46946140"/>
    <m/>
    <d v="2023-11-01T00:00:00"/>
    <x v="0"/>
    <x v="5"/>
    <s v="Q4"/>
    <n v="45231"/>
    <x v="4"/>
    <x v="2"/>
    <x v="1"/>
    <x v="8"/>
    <s v="Binders determine"/>
    <x v="59"/>
    <n v="10"/>
    <n v="0.41"/>
    <n v="115.17"/>
    <e v="#VALUE!"/>
    <s v="profit"/>
  </r>
  <r>
    <s v="6b5391ea-2941-4cbf-9e34-86fa8d75f40a"/>
    <d v="2024-02-25T00:00:00"/>
    <d v="2024-03-04T00:00:00"/>
    <x v="2"/>
    <x v="10"/>
    <s v="Q2"/>
    <n v="8"/>
    <x v="2"/>
    <x v="0"/>
    <x v="2"/>
    <x v="2"/>
    <s v="Accessories spring"/>
    <x v="592"/>
    <n v="5"/>
    <n v="0.12"/>
    <n v="468.14"/>
    <n v="94.450000000000045"/>
    <s v="profit"/>
  </r>
  <r>
    <s v="b01c5276-579e-4511-9d3a-6bb772117b6d"/>
    <d v="2023-11-22T00:00:00"/>
    <d v="2023-11-24T00:00:00"/>
    <x v="0"/>
    <x v="5"/>
    <s v="Q4"/>
    <n v="2"/>
    <x v="1"/>
    <x v="7"/>
    <x v="1"/>
    <x v="1"/>
    <s v="Paper add"/>
    <x v="593"/>
    <n v="10"/>
    <n v="0.44"/>
    <n v="133.57"/>
    <n v="135.86000000000001"/>
    <s v="profit"/>
  </r>
  <r>
    <s v="1e24be3f-10c9-4008-bce0-6be753909464"/>
    <d v="2024-08-10T00:00:00"/>
    <d v="2024-08-15T00:00:00"/>
    <x v="1"/>
    <x v="2"/>
    <s v="Q3"/>
    <n v="5"/>
    <x v="2"/>
    <x v="6"/>
    <x v="0"/>
    <x v="0"/>
    <s v="Tables agreement"/>
    <x v="594"/>
    <n v="7"/>
    <n v="0.15"/>
    <n v="366.43"/>
    <n v="92.31"/>
    <s v="profit"/>
  </r>
  <r>
    <s v="9a775a89-de6a-4274-bf6c-80c9ac08a959"/>
    <d v="2024-08-30T00:00:00"/>
    <d v="2024-09-07T00:00:00"/>
    <x v="0"/>
    <x v="11"/>
    <s v="Q4"/>
    <n v="8"/>
    <x v="3"/>
    <x v="2"/>
    <x v="0"/>
    <x v="7"/>
    <s v="Chairs wear"/>
    <x v="595"/>
    <n v="4"/>
    <n v="0.24"/>
    <n v="605.52"/>
    <n v="243.01"/>
    <s v="profit"/>
  </r>
  <r>
    <s v="249fdae0-e54b-4014-8a24-1ffb943bf01f"/>
    <d v="2024-11-08T00:00:00"/>
    <d v="2024-11-15T00:00:00"/>
    <x v="0"/>
    <x v="5"/>
    <s v="Q4"/>
    <n v="7"/>
    <x v="1"/>
    <x v="5"/>
    <x v="0"/>
    <x v="0"/>
    <s v="Tables beat"/>
    <x v="596"/>
    <n v="3"/>
    <n v="0.24"/>
    <n v="524.63"/>
    <n v="210.10000000000002"/>
    <s v="profit"/>
  </r>
  <r>
    <s v="6cb3c35f-12d9-4c7f-9146-7f2437fc18bb"/>
    <d v="2024-09-15T00:00:00"/>
    <d v="2024-09-21T00:00:00"/>
    <x v="0"/>
    <x v="11"/>
    <s v="Q4"/>
    <n v="6"/>
    <x v="2"/>
    <x v="6"/>
    <x v="2"/>
    <x v="6"/>
    <s v="Laptops state"/>
    <x v="597"/>
    <n v="6"/>
    <n v="0.11"/>
    <n v="380.45"/>
    <n v="100.18"/>
    <s v="profit"/>
  </r>
  <r>
    <s v="edea5a29-6e79-43c4-9593-701b20920769"/>
    <d v="2024-01-30T00:00:00"/>
    <d v="2024-04-16T00:00:00"/>
    <x v="0"/>
    <x v="1"/>
    <s v="Q2"/>
    <n v="77"/>
    <x v="0"/>
    <x v="4"/>
    <x v="2"/>
    <x v="2"/>
    <s v="Accessories mother"/>
    <x v="598"/>
    <n v="6"/>
    <n v="0.39"/>
    <n v="103.22"/>
    <n v="144.97999999999999"/>
    <s v="profit"/>
  </r>
  <r>
    <s v="b0b2e610-ea56-4182-af35-7d0d06cf4838"/>
    <d v="2023-09-16T00:00:00"/>
    <d v="2023-09-25T00:00:00"/>
    <x v="0"/>
    <x v="11"/>
    <s v="Q4"/>
    <n v="9"/>
    <x v="3"/>
    <x v="2"/>
    <x v="2"/>
    <x v="6"/>
    <s v="Laptops middle"/>
    <x v="599"/>
    <n v="8"/>
    <n v="0.4"/>
    <n v="25.73"/>
    <n v="83.56"/>
    <s v="profit"/>
  </r>
  <r>
    <s v="c349e145-0e73-42a1-9f32-61284537532c"/>
    <d v="2024-01-28T00:00:00"/>
    <d v="2024-02-03T00:00:00"/>
    <x v="1"/>
    <x v="6"/>
    <s v="Q1"/>
    <n v="6"/>
    <x v="3"/>
    <x v="1"/>
    <x v="0"/>
    <x v="3"/>
    <s v="Bookcases goal"/>
    <x v="600"/>
    <n v="7"/>
    <n v="0.28999999999999998"/>
    <n v="6.62"/>
    <n v="23.259999999999998"/>
    <s v="profit"/>
  </r>
  <r>
    <s v="087c94ed-35fe-4008-9b11-96990da3f604"/>
    <d v="2024-08-11T00:00:00"/>
    <d v="2024-08-20T00:00:00"/>
    <x v="0"/>
    <x v="2"/>
    <s v="Q3"/>
    <n v="9"/>
    <x v="1"/>
    <x v="6"/>
    <x v="2"/>
    <x v="6"/>
    <s v="Laptops court"/>
    <x v="601"/>
    <n v="5"/>
    <n v="0.11"/>
    <n v="213.25"/>
    <n v="49.360000000000014"/>
    <s v="profit"/>
  </r>
  <r>
    <s v="e5a9bd1f-c798-4fd0-bebd-5775045c65f1"/>
    <d v="2023-07-22T00:00:00"/>
    <d v="2023-07-23T00:00:00"/>
    <x v="0"/>
    <x v="7"/>
    <s v="Q3"/>
    <n v="1"/>
    <x v="2"/>
    <x v="5"/>
    <x v="1"/>
    <x v="4"/>
    <s v="Pens identify"/>
    <x v="602"/>
    <n v="10"/>
    <n v="0.2"/>
    <n v="683.84"/>
    <n v="217.38"/>
    <s v="profit"/>
  </r>
  <r>
    <s v="a666ef77-1811-47d0-b32d-aff3fbba2293"/>
    <d v="2024-06-13T00:00:00"/>
    <d v="2024-06-13T00:00:00"/>
    <x v="1"/>
    <x v="3"/>
    <s v="Q3"/>
    <n v="0"/>
    <x v="1"/>
    <x v="4"/>
    <x v="2"/>
    <x v="2"/>
    <s v="Accessories line"/>
    <x v="603"/>
    <n v="1"/>
    <n v="0.32"/>
    <n v="123.33"/>
    <n v="105.8"/>
    <s v="profit"/>
  </r>
  <r>
    <s v="f66d3035-b047-4ea4-aef1-fb6987b27b9e"/>
    <d v="2024-11-13T00:00:00"/>
    <d v="2024-11-16T00:00:00"/>
    <x v="0"/>
    <x v="5"/>
    <s v="Q4"/>
    <n v="3"/>
    <x v="2"/>
    <x v="6"/>
    <x v="0"/>
    <x v="3"/>
    <s v="Bookcases let"/>
    <x v="604"/>
    <n v="10"/>
    <n v="0.11"/>
    <n v="219"/>
    <n v="50.300000000000011"/>
    <s v="profit"/>
  </r>
  <r>
    <s v="01c01770-3653-4d69-9853-b4bb46d0ffd4"/>
    <m/>
    <d v="2024-05-31T00:00:00"/>
    <x v="0"/>
    <x v="8"/>
    <s v="Q2"/>
    <n v="45443"/>
    <x v="4"/>
    <x v="7"/>
    <x v="0"/>
    <x v="3"/>
    <s v="Bookcases might"/>
    <x v="59"/>
    <n v="8"/>
    <n v="0.03"/>
    <n v="603.54999999999995"/>
    <e v="#VALUE!"/>
    <s v="profit"/>
  </r>
  <r>
    <s v="49991409-3c63-41b9-8a11-cba60915bf6d"/>
    <d v="2024-09-29T00:00:00"/>
    <d v="2024-10-08T00:00:00"/>
    <x v="2"/>
    <x v="4"/>
    <s v="Q4"/>
    <n v="9"/>
    <x v="1"/>
    <x v="7"/>
    <x v="2"/>
    <x v="6"/>
    <s v="Laptops relate"/>
    <x v="605"/>
    <n v="3"/>
    <n v="0.32"/>
    <n v="155.13"/>
    <n v="98.1"/>
    <s v="profit"/>
  </r>
  <r>
    <s v="906032d5-cdb8-4d5b-82ba-8cf8d7984628"/>
    <d v="2024-05-12T00:00:00"/>
    <d v="2024-05-15T00:00:00"/>
    <x v="0"/>
    <x v="8"/>
    <s v="Q2"/>
    <n v="3"/>
    <x v="0"/>
    <x v="1"/>
    <x v="2"/>
    <x v="5"/>
    <s v="Phones physical"/>
    <x v="606"/>
    <n v="8"/>
    <n v="0.2"/>
    <n v="506.28"/>
    <n v="183.48000000000002"/>
    <s v="profit"/>
  </r>
  <r>
    <s v="886b160b-24b4-43b0-9687-dafb876a02a4"/>
    <d v="2024-05-28T00:00:00"/>
    <d v="2024-05-28T00:00:00"/>
    <x v="0"/>
    <x v="8"/>
    <s v="Q2"/>
    <n v="0"/>
    <x v="3"/>
    <x v="0"/>
    <x v="0"/>
    <x v="3"/>
    <s v="Bookcases movie"/>
    <x v="607"/>
    <n v="2"/>
    <n v="0.09"/>
    <n v="92.68"/>
    <n v="33.019999999999996"/>
    <s v="profit"/>
  </r>
  <r>
    <s v="c728aeff-5b60-44ad-9297-4a7d6ef0402b"/>
    <d v="2023-06-11T00:00:00"/>
    <d v="2023-06-15T00:00:00"/>
    <x v="0"/>
    <x v="3"/>
    <s v="Q3"/>
    <n v="4"/>
    <x v="0"/>
    <x v="1"/>
    <x v="1"/>
    <x v="4"/>
    <s v="Pens a"/>
    <x v="608"/>
    <n v="8"/>
    <n v="0.06"/>
    <n v="354.35"/>
    <n v="56.989999999999952"/>
    <s v="profit"/>
  </r>
  <r>
    <s v="0b29eb6d-bb08-4068-a683-1a16de65a2cd"/>
    <d v="2024-11-12T00:00:00"/>
    <d v="2024-11-14T00:00:00"/>
    <x v="1"/>
    <x v="5"/>
    <s v="Q4"/>
    <n v="2"/>
    <x v="2"/>
    <x v="7"/>
    <x v="1"/>
    <x v="4"/>
    <s v="Pens represent"/>
    <x v="609"/>
    <n v="1"/>
    <n v="0.14000000000000001"/>
    <n v="742.75"/>
    <n v="139.40999999999997"/>
    <s v="profit"/>
  </r>
  <r>
    <s v="e9572918-57ec-45d3-a2f6-f9a8642d584a"/>
    <d v="2024-02-19T00:00:00"/>
    <d v="2024-02-24T00:00:00"/>
    <x v="0"/>
    <x v="6"/>
    <s v="Q1"/>
    <n v="5"/>
    <x v="2"/>
    <x v="7"/>
    <x v="1"/>
    <x v="8"/>
    <s v="Binders level"/>
    <x v="610"/>
    <n v="6"/>
    <n v="0.02"/>
    <n v="734.24"/>
    <n v="61.470000000000027"/>
    <s v="profit"/>
  </r>
  <r>
    <s v="1978c43d-7cac-4213-a459-3c780396c517"/>
    <d v="2023-08-28T00:00:00"/>
    <d v="2023-08-28T00:00:00"/>
    <x v="0"/>
    <x v="2"/>
    <s v="Q3"/>
    <n v="0"/>
    <x v="2"/>
    <x v="1"/>
    <x v="1"/>
    <x v="4"/>
    <s v="Pens sport"/>
    <x v="611"/>
    <n v="4"/>
    <n v="0.49"/>
    <n v="244.48"/>
    <n v="282.68999999999994"/>
    <s v="profit"/>
  </r>
  <r>
    <s v="663d931b-f9b0-4b84-b6d5-19f905180c4f"/>
    <d v="2024-05-03T00:00:00"/>
    <d v="2024-05-09T00:00:00"/>
    <x v="1"/>
    <x v="8"/>
    <s v="Q2"/>
    <n v="6"/>
    <x v="3"/>
    <x v="5"/>
    <x v="0"/>
    <x v="7"/>
    <s v="Chairs government"/>
    <x v="612"/>
    <n v="5"/>
    <n v="0.2"/>
    <n v="129.19"/>
    <n v="69.610000000000014"/>
    <s v="profit"/>
  </r>
  <r>
    <s v="64777fcb-a893-47a6-ba2f-2618ad972660"/>
    <d v="2024-01-21T00:00:00"/>
    <d v="2024-01-29T00:00:00"/>
    <x v="0"/>
    <x v="0"/>
    <s v="Q1"/>
    <n v="8"/>
    <x v="2"/>
    <x v="0"/>
    <x v="2"/>
    <x v="6"/>
    <s v="Laptops focus"/>
    <x v="613"/>
    <n v="7"/>
    <n v="-1"/>
    <n v="507.39"/>
    <n v="144.08000000000004"/>
    <s v="profit"/>
  </r>
  <r>
    <s v="6db36f0c-cb43-401d-8674-46a1894a0454"/>
    <d v="2024-08-12T00:00:00"/>
    <d v="2024-08-17T00:00:00"/>
    <x v="0"/>
    <x v="2"/>
    <s v="Q3"/>
    <n v="5"/>
    <x v="0"/>
    <x v="1"/>
    <x v="2"/>
    <x v="2"/>
    <s v="Accessories kitchen"/>
    <x v="614"/>
    <n v="5"/>
    <n v="0.47"/>
    <n v="368.42"/>
    <n v="396.23999999999995"/>
    <s v="profit"/>
  </r>
  <r>
    <s v="abe4e528-46b9-4b43-9fcb-9b2ab66d0b86"/>
    <d v="2023-09-05T00:00:00"/>
    <d v="2023-09-10T00:00:00"/>
    <x v="0"/>
    <x v="11"/>
    <s v="Q4"/>
    <n v="5"/>
    <x v="2"/>
    <x v="6"/>
    <x v="2"/>
    <x v="6"/>
    <s v="Laptops fire"/>
    <x v="615"/>
    <n v="5"/>
    <n v="0.08"/>
    <n v="498.02"/>
    <n v="77.730000000000018"/>
    <s v="profit"/>
  </r>
  <r>
    <s v="bfc93062-e62e-4afc-9e28-ddd7646808f6"/>
    <d v="2024-11-03T00:00:00"/>
    <d v="2024-11-09T00:00:00"/>
    <x v="1"/>
    <x v="5"/>
    <s v="Q4"/>
    <n v="6"/>
    <x v="3"/>
    <x v="7"/>
    <x v="2"/>
    <x v="6"/>
    <s v="Laptops marriage"/>
    <x v="616"/>
    <n v="2"/>
    <n v="0.39"/>
    <n v="462.09"/>
    <n v="328.55"/>
    <s v="profit"/>
  </r>
  <r>
    <s v="2e29d872-d875-4451-809a-570f2517fdf8"/>
    <d v="2024-05-17T00:00:00"/>
    <d v="2024-05-18T00:00:00"/>
    <x v="0"/>
    <x v="8"/>
    <s v="Q2"/>
    <n v="1"/>
    <x v="3"/>
    <x v="6"/>
    <x v="1"/>
    <x v="4"/>
    <s v="Pens line"/>
    <x v="617"/>
    <n v="5"/>
    <n v="0.16"/>
    <n v="747.24"/>
    <n v="165.71000000000004"/>
    <s v="profit"/>
  </r>
  <r>
    <s v="21ca5890-bfcb-45fd-a856-61cec366857b"/>
    <d v="2023-02-04T00:00:00"/>
    <d v="2023-02-09T00:00:00"/>
    <x v="0"/>
    <x v="6"/>
    <s v="Q1"/>
    <n v="5"/>
    <x v="3"/>
    <x v="5"/>
    <x v="0"/>
    <x v="0"/>
    <s v="Tables skill"/>
    <x v="618"/>
    <n v="6"/>
    <n v="0.48"/>
    <n v="439.59"/>
    <n v="498.95"/>
    <s v="profit"/>
  </r>
  <r>
    <s v="49c3f1aa-7843-4a2f-a899-9e9345d6891e"/>
    <d v="2024-02-16T00:00:00"/>
    <d v="2024-02-23T00:00:00"/>
    <x v="1"/>
    <x v="6"/>
    <s v="Q1"/>
    <n v="7"/>
    <x v="3"/>
    <x v="2"/>
    <x v="2"/>
    <x v="5"/>
    <s v="Phones I"/>
    <x v="619"/>
    <n v="9"/>
    <n v="0.3"/>
    <n v="673.83"/>
    <n v="307.13"/>
    <s v="profit"/>
  </r>
  <r>
    <s v="8da3cdd8-942d-4888-80cb-485ed0eb566c"/>
    <d v="2023-12-23T00:00:00"/>
    <d v="2023-12-30T00:00:00"/>
    <x v="0"/>
    <x v="9"/>
    <s v="Q4"/>
    <n v="7"/>
    <x v="2"/>
    <x v="7"/>
    <x v="2"/>
    <x v="5"/>
    <s v="Phones team"/>
    <x v="620"/>
    <n v="4"/>
    <n v="0.28999999999999998"/>
    <n v="372.39"/>
    <n v="221.14999999999998"/>
    <s v="profit"/>
  </r>
  <r>
    <s v="a97d218f-425c-463c-a0fd-570241b15702"/>
    <d v="2023-08-22T00:00:00"/>
    <d v="2023-08-30T00:00:00"/>
    <x v="1"/>
    <x v="2"/>
    <s v="Q3"/>
    <n v="8"/>
    <x v="0"/>
    <x v="5"/>
    <x v="0"/>
    <x v="0"/>
    <s v="Tables explain"/>
    <x v="621"/>
    <n v="10"/>
    <n v="0.02"/>
    <n v="396.74"/>
    <n v="43.20999999999998"/>
    <s v="profit"/>
  </r>
  <r>
    <s v="8c7d50ee-4408-4b1b-adc3-5185579dc8af"/>
    <d v="2023-09-29T00:00:00"/>
    <d v="2023-10-06T00:00:00"/>
    <x v="1"/>
    <x v="4"/>
    <s v="Q4"/>
    <n v="7"/>
    <x v="0"/>
    <x v="2"/>
    <x v="2"/>
    <x v="5"/>
    <s v="Phones it"/>
    <x v="622"/>
    <n v="9"/>
    <n v="0.42"/>
    <n v="456.52"/>
    <n v="367.35"/>
    <s v="profit"/>
  </r>
  <r>
    <s v="e9cb796a-96c3-44ce-b9a4-93f4feed469b"/>
    <d v="2024-05-11T00:00:00"/>
    <d v="2024-05-16T00:00:00"/>
    <x v="1"/>
    <x v="8"/>
    <s v="Q2"/>
    <n v="5"/>
    <x v="2"/>
    <x v="0"/>
    <x v="2"/>
    <x v="2"/>
    <s v="Accessories most"/>
    <x v="623"/>
    <n v="7"/>
    <n v="0.15"/>
    <n v="693.49"/>
    <n v="135.52999999999997"/>
    <s v="profit"/>
  </r>
  <r>
    <s v="27832a4a-e191-4d2d-a54b-2b7e00799dc0"/>
    <d v="2023-12-16T00:00:00"/>
    <d v="2023-12-17T00:00:00"/>
    <x v="0"/>
    <x v="9"/>
    <s v="Q4"/>
    <n v="1"/>
    <x v="1"/>
    <x v="2"/>
    <x v="0"/>
    <x v="0"/>
    <s v="Tables feeling"/>
    <x v="624"/>
    <s v="Null"/>
    <n v="0.37"/>
    <n v="549.08000000000004"/>
    <n v="400.25"/>
    <s v="profit"/>
  </r>
  <r>
    <s v="c860d2e0-4ca1-4b90-99d9-a1ef360d6d7e"/>
    <d v="2024-01-13T00:00:00"/>
    <d v="2024-01-15T00:00:00"/>
    <x v="1"/>
    <x v="0"/>
    <s v="Q1"/>
    <n v="2"/>
    <x v="3"/>
    <x v="0"/>
    <x v="2"/>
    <x v="2"/>
    <s v="Accessories fear"/>
    <x v="625"/>
    <n v="8"/>
    <n v="0.36"/>
    <n v="584.1"/>
    <n v="350.06999999999994"/>
    <s v="profit"/>
  </r>
  <r>
    <s v="4c640d42-06a0-4cf2-a0ce-331478e08022"/>
    <d v="2023-12-14T00:00:00"/>
    <d v="2023-12-16T00:00:00"/>
    <x v="0"/>
    <x v="9"/>
    <s v="Q4"/>
    <n v="2"/>
    <x v="2"/>
    <x v="1"/>
    <x v="2"/>
    <x v="5"/>
    <s v="Phones relate"/>
    <x v="626"/>
    <n v="3"/>
    <n v="0.18"/>
    <n v="546.29"/>
    <n v="142.18000000000006"/>
    <s v="profit"/>
  </r>
  <r>
    <s v="25c7ae9b-99d4-4afa-8219-3e88502b05d0"/>
    <d v="2024-08-14T00:00:00"/>
    <d v="2024-08-23T00:00:00"/>
    <x v="1"/>
    <x v="2"/>
    <s v="Q3"/>
    <n v="9"/>
    <x v="1"/>
    <x v="5"/>
    <x v="2"/>
    <x v="2"/>
    <s v="Accessories fight"/>
    <x v="627"/>
    <n v="5"/>
    <n v="0.5"/>
    <n v="218.6"/>
    <n v="249.03"/>
    <s v="profit"/>
  </r>
  <r>
    <s v="e89283f6-98eb-48df-8a36-49c8d003fc74"/>
    <d v="2023-06-29T00:00:00"/>
    <d v="2023-07-06T00:00:00"/>
    <x v="0"/>
    <x v="7"/>
    <s v="Q3"/>
    <n v="7"/>
    <x v="3"/>
    <x v="5"/>
    <x v="0"/>
    <x v="0"/>
    <s v="Tables democratic"/>
    <x v="628"/>
    <n v="7"/>
    <n v="0.3"/>
    <n v="426.79"/>
    <n v="248.81"/>
    <s v="profit"/>
  </r>
  <r>
    <s v="e5bc3f54-f746-44d8-aad1-698d36fa34b3"/>
    <d v="2024-06-17T00:00:00"/>
    <d v="2024-06-22T00:00:00"/>
    <x v="1"/>
    <x v="3"/>
    <s v="Q3"/>
    <n v="5"/>
    <x v="0"/>
    <x v="2"/>
    <x v="2"/>
    <x v="2"/>
    <s v="Accessories speak"/>
    <x v="629"/>
    <n v="7"/>
    <n v="0.25"/>
    <n v="680.46"/>
    <n v="261.5"/>
    <s v="profit"/>
  </r>
  <r>
    <s v="98e90a66-4051-4e24-ace4-413fac7012c4"/>
    <d v="2022-12-04T00:00:00"/>
    <d v="2022-12-06T00:00:00"/>
    <x v="0"/>
    <x v="9"/>
    <s v="Q4"/>
    <n v="2"/>
    <x v="0"/>
    <x v="4"/>
    <x v="0"/>
    <x v="7"/>
    <s v="Chairs high"/>
    <x v="630"/>
    <n v="5"/>
    <n v="0.42"/>
    <n v="4.2699999999999996"/>
    <n v="76.910000000000011"/>
    <s v="profit"/>
  </r>
  <r>
    <s v="8213a96a-6639-488f-83ef-be66c4fe8d5b"/>
    <d v="2024-04-15T00:00:00"/>
    <d v="2024-04-18T00:00:00"/>
    <x v="3"/>
    <x v="1"/>
    <s v="Q2"/>
    <n v="3"/>
    <x v="2"/>
    <x v="4"/>
    <x v="0"/>
    <x v="0"/>
    <s v="Tables miss"/>
    <x v="631"/>
    <n v="5"/>
    <n v="0.42"/>
    <n v="522.04999999999995"/>
    <n v="448.28000000000009"/>
    <s v="profit"/>
  </r>
  <r>
    <s v="fd5bbfc5-e5ae-4914-93e9-bfb88776a490"/>
    <d v="2023-04-25T00:00:00"/>
    <d v="2023-04-27T00:00:00"/>
    <x v="0"/>
    <x v="1"/>
    <s v="Q2"/>
    <n v="2"/>
    <x v="2"/>
    <x v="0"/>
    <x v="1"/>
    <x v="1"/>
    <s v="Paper film"/>
    <x v="632"/>
    <n v="2"/>
    <n v="0.01"/>
    <n v="459.56"/>
    <n v="44.079999999999984"/>
    <s v="profit"/>
  </r>
  <r>
    <s v="0e447a80-19b0-493c-ad9c-7c43827881be"/>
    <d v="2023-01-18T00:00:00"/>
    <d v="2023-01-23T00:00:00"/>
    <x v="1"/>
    <x v="0"/>
    <s v="Q1"/>
    <n v="5"/>
    <x v="3"/>
    <x v="5"/>
    <x v="1"/>
    <x v="1"/>
    <s v="Paper available"/>
    <x v="633"/>
    <n v="4"/>
    <n v="0.28999999999999998"/>
    <n v="67.37"/>
    <n v="67.28"/>
    <s v="profit"/>
  </r>
  <r>
    <s v="d1b1abca-077b-4dad-a7d6-79dde373f211"/>
    <d v="2024-07-02T00:00:00"/>
    <d v="2024-07-04T00:00:00"/>
    <x v="1"/>
    <x v="7"/>
    <s v="Q3"/>
    <n v="2"/>
    <x v="1"/>
    <x v="7"/>
    <x v="2"/>
    <x v="2"/>
    <s v="Accessories mind"/>
    <x v="634"/>
    <n v="10"/>
    <n v="0.1"/>
    <n v="536.03"/>
    <n v="114.86000000000001"/>
    <s v="profit"/>
  </r>
  <r>
    <s v="f64ee18f-c86b-4273-80ea-abd04a6efeba"/>
    <d v="2024-11-15T00:00:00"/>
    <d v="2024-11-22T00:00:00"/>
    <x v="0"/>
    <x v="5"/>
    <s v="Q4"/>
    <n v="7"/>
    <x v="2"/>
    <x v="2"/>
    <x v="0"/>
    <x v="7"/>
    <s v="Chairs move"/>
    <x v="603"/>
    <n v="7"/>
    <n v="0.23"/>
    <n v="150.68"/>
    <n v="78.449999999999989"/>
    <s v="profit"/>
  </r>
  <r>
    <s v="62b909a6-9aba-469f-882c-161e21df4d0f"/>
    <d v="2023-07-12T00:00:00"/>
    <d v="2023-07-17T00:00:00"/>
    <x v="0"/>
    <x v="7"/>
    <s v="Q3"/>
    <n v="5"/>
    <x v="1"/>
    <x v="6"/>
    <x v="1"/>
    <x v="8"/>
    <s v="Binders expert"/>
    <x v="635"/>
    <n v="1"/>
    <n v="0.43"/>
    <n v="39.409999999999997"/>
    <n v="81"/>
    <s v="profit"/>
  </r>
  <r>
    <s v="cfd9009d-dcd2-4381-8665-886fc544fdf8"/>
    <d v="2024-08-11T00:00:00"/>
    <d v="2024-08-17T00:00:00"/>
    <x v="1"/>
    <x v="2"/>
    <s v="Q3"/>
    <n v="6"/>
    <x v="1"/>
    <x v="4"/>
    <x v="2"/>
    <x v="5"/>
    <s v="Phones expert"/>
    <x v="636"/>
    <n v="1"/>
    <n v="0.08"/>
    <n v="833.42"/>
    <n v="105.65000000000009"/>
    <s v="profit"/>
  </r>
  <r>
    <s v="c0775ef6-639a-475f-b6d9-b08e97ba14a2"/>
    <d v="2024-04-21T00:00:00"/>
    <d v="2024-04-30T00:00:00"/>
    <x v="0"/>
    <x v="1"/>
    <s v="Q2"/>
    <n v="9"/>
    <x v="3"/>
    <x v="0"/>
    <x v="1"/>
    <x v="1"/>
    <s v="Paper tell"/>
    <x v="637"/>
    <n v="10"/>
    <n v="0.1"/>
    <n v="331.03"/>
    <n v="80"/>
    <s v="profit"/>
  </r>
  <r>
    <s v="c4729ba2-9809-4c31-8045-503c7be23fce"/>
    <d v="2023-12-01T00:00:00"/>
    <d v="2023-12-02T00:00:00"/>
    <x v="0"/>
    <x v="9"/>
    <s v="Q4"/>
    <n v="1"/>
    <x v="2"/>
    <x v="7"/>
    <x v="1"/>
    <x v="4"/>
    <s v="Pens than"/>
    <x v="638"/>
    <n v="9"/>
    <n v="0.15"/>
    <n v="441.31"/>
    <n v="120.89000000000004"/>
    <s v="profit"/>
  </r>
  <r>
    <s v="2145a38a-c5d7-434e-9809-acef69398c66"/>
    <d v="2024-11-01T00:00:00"/>
    <d v="2024-11-01T00:00:00"/>
    <x v="1"/>
    <x v="5"/>
    <s v="Q4"/>
    <n v="0"/>
    <x v="0"/>
    <x v="7"/>
    <x v="2"/>
    <x v="6"/>
    <s v="Laptops amount"/>
    <x v="639"/>
    <n v="6"/>
    <n v="0.16"/>
    <n v="760.9"/>
    <n v="192.13"/>
    <s v="profit"/>
  </r>
  <r>
    <s v="c26425c7-0ade-4b34-98e5-2ecf4d617824"/>
    <d v="2022-12-11T00:00:00"/>
    <d v="2022-12-14T00:00:00"/>
    <x v="0"/>
    <x v="9"/>
    <s v="Q4"/>
    <n v="3"/>
    <x v="0"/>
    <x v="1"/>
    <x v="1"/>
    <x v="1"/>
    <s v="Paper return"/>
    <x v="640"/>
    <n v="9"/>
    <n v="0.11"/>
    <n v="18.100000000000001"/>
    <n v="44.22"/>
    <s v="profit"/>
  </r>
  <r>
    <s v="60c02ceb-702e-4b50-9dcd-c3a4f9218369"/>
    <d v="2024-07-01T00:00:00"/>
    <d v="2024-07-06T00:00:00"/>
    <x v="3"/>
    <x v="7"/>
    <s v="Q3"/>
    <n v="5"/>
    <x v="3"/>
    <x v="3"/>
    <x v="2"/>
    <x v="6"/>
    <s v="Laptops learn"/>
    <x v="641"/>
    <n v="4"/>
    <n v="0.43"/>
    <n v="356.49"/>
    <n v="317.27"/>
    <s v="profit"/>
  </r>
  <r>
    <s v="3149328a-afb0-4afc-869e-6055dc17743c"/>
    <d v="2024-02-16T00:00:00"/>
    <d v="2024-02-17T00:00:00"/>
    <x v="0"/>
    <x v="6"/>
    <s v="Q1"/>
    <n v="1"/>
    <x v="0"/>
    <x v="2"/>
    <x v="2"/>
    <x v="5"/>
    <s v="Phones center"/>
    <x v="642"/>
    <n v="3"/>
    <n v="0.28999999999999998"/>
    <n v="511.96"/>
    <n v="229.83999999999997"/>
    <s v="profit"/>
  </r>
  <r>
    <s v="19b32325-e9e9-4825-b679-ca44c49ce6d1"/>
    <d v="2023-07-14T00:00:00"/>
    <d v="2023-07-17T00:00:00"/>
    <x v="0"/>
    <x v="7"/>
    <s v="Q3"/>
    <n v="3"/>
    <x v="0"/>
    <x v="2"/>
    <x v="0"/>
    <x v="0"/>
    <s v="Tables over"/>
    <x v="643"/>
    <n v="10"/>
    <n v="0.12"/>
    <n v="429.24"/>
    <n v="89.340000000000032"/>
    <s v="profit"/>
  </r>
  <r>
    <s v="c173ff68-e8b8-4f6d-933d-3560da4fbf95"/>
    <d v="2024-03-17T00:00:00"/>
    <d v="2024-03-26T00:00:00"/>
    <x v="1"/>
    <x v="10"/>
    <s v="Q2"/>
    <n v="9"/>
    <x v="2"/>
    <x v="7"/>
    <x v="1"/>
    <x v="4"/>
    <s v="Pens young"/>
    <x v="644"/>
    <n v="9"/>
    <n v="0.25"/>
    <n v="116.61"/>
    <n v="52.959999999999994"/>
    <s v="profit"/>
  </r>
  <r>
    <s v="4ca3a015-23e6-4725-80ec-4ee604029ac7"/>
    <d v="2023-11-20T00:00:00"/>
    <d v="2023-11-24T00:00:00"/>
    <x v="0"/>
    <x v="5"/>
    <s v="Q4"/>
    <n v="4"/>
    <x v="0"/>
    <x v="4"/>
    <x v="0"/>
    <x v="0"/>
    <s v="Tables always"/>
    <x v="645"/>
    <n v="8"/>
    <n v="0.15"/>
    <n v="392.75"/>
    <n v="112.14999999999998"/>
    <s v="profit"/>
  </r>
  <r>
    <s v="6f2a3d69-a43b-4c2f-bbf2-2622a3272569"/>
    <d v="2023-03-22T00:00:00"/>
    <d v="2023-03-25T00:00:00"/>
    <x v="1"/>
    <x v="10"/>
    <s v="Q2"/>
    <n v="3"/>
    <x v="3"/>
    <x v="0"/>
    <x v="0"/>
    <x v="0"/>
    <s v="Tables region"/>
    <x v="646"/>
    <n v="4"/>
    <n v="0.06"/>
    <n v="353.02"/>
    <n v="67.110000000000014"/>
    <s v="profit"/>
  </r>
  <r>
    <s v="c0dbb3f7-0e10-4dbb-badf-521cb277ab3a"/>
    <d v="2023-10-13T00:00:00"/>
    <d v="2023-10-19T00:00:00"/>
    <x v="1"/>
    <x v="4"/>
    <s v="Q4"/>
    <n v="6"/>
    <x v="3"/>
    <x v="0"/>
    <x v="2"/>
    <x v="2"/>
    <s v="Accessories material"/>
    <x v="647"/>
    <n v="6"/>
    <n v="0.35"/>
    <n v="299.93"/>
    <n v="196.95"/>
    <s v="profit"/>
  </r>
  <r>
    <s v="d1f1f05c-dea3-4039-841e-520d82c3d498"/>
    <d v="2024-03-24T00:00:00"/>
    <d v="2024-03-24T00:00:00"/>
    <x v="1"/>
    <x v="10"/>
    <s v="Q2"/>
    <n v="0"/>
    <x v="3"/>
    <x v="6"/>
    <x v="1"/>
    <x v="8"/>
    <s v="Binders throw"/>
    <x v="648"/>
    <n v="2"/>
    <n v="0.08"/>
    <n v="600.32000000000005"/>
    <n v="79.779999999999973"/>
    <s v="profit"/>
  </r>
  <r>
    <s v="cddf2e7f-5119-4f86-8e34-39782be35653"/>
    <m/>
    <d v="2024-02-27T00:00:00"/>
    <x v="0"/>
    <x v="6"/>
    <s v="Q1"/>
    <n v="45349"/>
    <x v="2"/>
    <x v="3"/>
    <x v="0"/>
    <x v="0"/>
    <s v="Tables media"/>
    <x v="649"/>
    <n v="5"/>
    <n v="0.25"/>
    <n v="704.04"/>
    <n v="259.64"/>
    <s v="profit"/>
  </r>
  <r>
    <s v="de3697d9-265a-4ad9-af20-a53b082df9e2"/>
    <d v="2024-05-09T00:00:00"/>
    <d v="2024-05-13T00:00:00"/>
    <x v="2"/>
    <x v="8"/>
    <s v="Q2"/>
    <n v="4"/>
    <x v="3"/>
    <x v="3"/>
    <x v="0"/>
    <x v="0"/>
    <s v="Tables treat"/>
    <x v="650"/>
    <n v="4"/>
    <n v="0.46"/>
    <n v="441.92"/>
    <n v="419.46999999999997"/>
    <s v="profit"/>
  </r>
  <r>
    <s v="fc59e0cc-e713-49f9-b38c-cfed06d71cea"/>
    <d v="2023-10-20T00:00:00"/>
    <d v="2023-10-20T00:00:00"/>
    <x v="0"/>
    <x v="4"/>
    <s v="Q4"/>
    <n v="0"/>
    <x v="3"/>
    <x v="4"/>
    <x v="2"/>
    <x v="5"/>
    <s v="Phones pattern"/>
    <x v="651"/>
    <n v="7"/>
    <n v="0.43"/>
    <n v="242.94"/>
    <n v="213.06"/>
    <s v="profit"/>
  </r>
  <r>
    <s v="f9bfbde7-29df-4f17-9c3c-484db6ff2f92"/>
    <m/>
    <d v="2022-12-06T00:00:00"/>
    <x v="1"/>
    <x v="9"/>
    <s v="Q4"/>
    <n v="44901"/>
    <x v="4"/>
    <x v="4"/>
    <x v="2"/>
    <x v="6"/>
    <s v="Laptops wind"/>
    <x v="59"/>
    <n v="7"/>
    <n v="0.47"/>
    <n v="79.459999999999994"/>
    <e v="#VALUE!"/>
    <s v="profit"/>
  </r>
  <r>
    <s v="73233044-7dc3-43c8-a676-4e2cc611eade"/>
    <d v="2023-01-09T00:00:00"/>
    <d v="2023-01-11T00:00:00"/>
    <x v="2"/>
    <x v="0"/>
    <s v="Q1"/>
    <n v="2"/>
    <x v="2"/>
    <x v="5"/>
    <x v="2"/>
    <x v="2"/>
    <s v="Accessories box"/>
    <x v="652"/>
    <n v="8"/>
    <n v="0.4"/>
    <n v="258.58999999999997"/>
    <n v="203.52000000000004"/>
    <s v="profit"/>
  </r>
  <r>
    <s v="2539a924-8c5d-41bd-bf18-00944d7accf5"/>
    <d v="2024-10-29T00:00:00"/>
    <d v="2024-10-31T00:00:00"/>
    <x v="1"/>
    <x v="4"/>
    <s v="Q4"/>
    <n v="2"/>
    <x v="0"/>
    <x v="6"/>
    <x v="0"/>
    <x v="7"/>
    <s v="Chairs build"/>
    <x v="653"/>
    <n v="2"/>
    <n v="0.41"/>
    <n v="89.42"/>
    <n v="106.98"/>
    <s v="profit"/>
  </r>
  <r>
    <s v="580339db-112c-4a2d-a271-9938f0123e8b"/>
    <d v="2024-02-03T00:00:00"/>
    <d v="2024-02-08T00:00:00"/>
    <x v="0"/>
    <x v="6"/>
    <s v="Q1"/>
    <n v="5"/>
    <x v="0"/>
    <x v="7"/>
    <x v="0"/>
    <x v="3"/>
    <s v="Bookcases under"/>
    <x v="654"/>
    <n v="7"/>
    <n v="0.42"/>
    <n v="511.43"/>
    <n v="415.04"/>
    <s v="profit"/>
  </r>
  <r>
    <s v="1b014840-37d9-4f81-acc6-bc5a0daad7fe"/>
    <d v="2024-04-15T00:00:00"/>
    <d v="2024-04-19T00:00:00"/>
    <x v="0"/>
    <x v="1"/>
    <s v="Q2"/>
    <n v="4"/>
    <x v="2"/>
    <x v="6"/>
    <x v="2"/>
    <x v="2"/>
    <s v="Accessories expect"/>
    <x v="655"/>
    <n v="2"/>
    <n v="0.48"/>
    <n v="118.8"/>
    <n v="154.69"/>
    <s v="profit"/>
  </r>
  <r>
    <s v="1838bf06-122d-4f63-8f5b-a329c34358fe"/>
    <d v="2024-04-03T00:00:00"/>
    <d v="2024-04-07T00:00:00"/>
    <x v="0"/>
    <x v="1"/>
    <s v="Q2"/>
    <n v="4"/>
    <x v="3"/>
    <x v="7"/>
    <x v="1"/>
    <x v="1"/>
    <s v="Paper need"/>
    <x v="656"/>
    <n v="8"/>
    <n v="0.27"/>
    <n v="328.88"/>
    <n v="159.98000000000002"/>
    <s v="profit"/>
  </r>
  <r>
    <s v="535a44c6-f6fa-41a1-a97b-a037f1cbb31e"/>
    <d v="2023-06-26T00:00:00"/>
    <d v="2023-06-30T00:00:00"/>
    <x v="0"/>
    <x v="3"/>
    <s v="Q3"/>
    <n v="4"/>
    <x v="3"/>
    <x v="6"/>
    <x v="1"/>
    <x v="4"/>
    <s v="Pens event"/>
    <x v="657"/>
    <n v="9"/>
    <n v="0.23"/>
    <n v="82.39"/>
    <n v="85.839999999999989"/>
    <s v="profit"/>
  </r>
  <r>
    <s v="25cfd6a6-330b-41dd-abbc-5892991078fc"/>
    <d v="2022-12-17T00:00:00"/>
    <d v="2022-12-22T00:00:00"/>
    <x v="1"/>
    <x v="9"/>
    <s v="Q4"/>
    <n v="5"/>
    <x v="2"/>
    <x v="5"/>
    <x v="0"/>
    <x v="3"/>
    <s v="Bookcases if"/>
    <x v="658"/>
    <n v="1"/>
    <n v="0.12"/>
    <n v="790.39"/>
    <n v="138.28999999999996"/>
    <s v="profit"/>
  </r>
  <r>
    <s v="37754a38-d65c-4033-970e-aa439aa72d84"/>
    <d v="2023-04-14T00:00:00"/>
    <d v="2023-04-23T00:00:00"/>
    <x v="3"/>
    <x v="1"/>
    <s v="Q2"/>
    <n v="9"/>
    <x v="1"/>
    <x v="0"/>
    <x v="1"/>
    <x v="4"/>
    <s v="Pens understand"/>
    <x v="659"/>
    <n v="7"/>
    <n v="0.03"/>
    <n v="248.29"/>
    <n v="39.659999999999997"/>
    <s v="profit"/>
  </r>
  <r>
    <s v="d878ac7a-4974-4b5c-8540-1fd646790179"/>
    <d v="2024-06-06T00:00:00"/>
    <d v="2024-06-07T00:00:00"/>
    <x v="1"/>
    <x v="3"/>
    <s v="Q3"/>
    <n v="1"/>
    <x v="3"/>
    <x v="0"/>
    <x v="0"/>
    <x v="7"/>
    <s v="Chairs whatever"/>
    <x v="660"/>
    <n v="5"/>
    <n v="0.19"/>
    <n v="118.2"/>
    <n v="43.88000000000001"/>
    <s v="profit"/>
  </r>
  <r>
    <s v="71dc91e7-d8e3-4a25-bb27-bd5e2862e62d"/>
    <d v="2024-01-01T00:00:00"/>
    <d v="2024-01-06T00:00:00"/>
    <x v="0"/>
    <x v="0"/>
    <s v="Q1"/>
    <n v="5"/>
    <x v="2"/>
    <x v="5"/>
    <x v="2"/>
    <x v="2"/>
    <s v="Accessories until"/>
    <x v="661"/>
    <n v="9"/>
    <n v="0.13"/>
    <n v="520.69000000000005"/>
    <n v="94.659999999999968"/>
    <s v="profit"/>
  </r>
  <r>
    <s v="f036e259-e205-4e11-8c5e-663e487b598a"/>
    <d v="2023-04-20T00:00:00"/>
    <d v="2023-04-21T00:00:00"/>
    <x v="0"/>
    <x v="1"/>
    <s v="Q2"/>
    <n v="1"/>
    <x v="2"/>
    <x v="4"/>
    <x v="0"/>
    <x v="7"/>
    <s v="Chairs point"/>
    <x v="662"/>
    <n v="1"/>
    <n v="0.19"/>
    <n v="340.79"/>
    <n v="141.06"/>
    <s v="profit"/>
  </r>
  <r>
    <s v="f17c9d30-db00-41ce-bd88-36fd53dc5a4f"/>
    <d v="2023-10-30T00:00:00"/>
    <d v="2023-11-02T00:00:00"/>
    <x v="1"/>
    <x v="5"/>
    <s v="Q4"/>
    <n v="3"/>
    <x v="2"/>
    <x v="4"/>
    <x v="0"/>
    <x v="0"/>
    <s v="Tables participant"/>
    <x v="663"/>
    <n v="1"/>
    <n v="0.1"/>
    <n v="302.89999999999998"/>
    <n v="77.19"/>
    <s v="profit"/>
  </r>
  <r>
    <s v="ef7808cf-e9fc-401d-890e-f134a99f77dd"/>
    <d v="2023-03-19T00:00:00"/>
    <d v="2023-03-25T00:00:00"/>
    <x v="1"/>
    <x v="10"/>
    <s v="Q2"/>
    <n v="6"/>
    <x v="1"/>
    <x v="4"/>
    <x v="0"/>
    <x v="7"/>
    <s v="Chairs college"/>
    <x v="664"/>
    <n v="3"/>
    <n v="0.27"/>
    <n v="345.78"/>
    <n v="173.21000000000004"/>
    <s v="profit"/>
  </r>
  <r>
    <s v="79ab3a44-ec44-4474-a539-9d6f5691bcec"/>
    <d v="2023-12-15T00:00:00"/>
    <d v="2023-12-23T00:00:00"/>
    <x v="1"/>
    <x v="9"/>
    <s v="Q4"/>
    <n v="8"/>
    <x v="3"/>
    <x v="2"/>
    <x v="1"/>
    <x v="1"/>
    <s v="Paper business"/>
    <x v="665"/>
    <n v="8"/>
    <n v="0.25"/>
    <n v="488.8"/>
    <n v="205.04000000000002"/>
    <s v="profit"/>
  </r>
  <r>
    <s v="e383130c-e2f9-42e5-b80e-843889c65696"/>
    <d v="2024-02-28T00:00:00"/>
    <d v="2024-03-03T00:00:00"/>
    <x v="1"/>
    <x v="10"/>
    <s v="Q2"/>
    <n v="4"/>
    <x v="0"/>
    <x v="4"/>
    <x v="1"/>
    <x v="4"/>
    <s v="Pens us"/>
    <x v="666"/>
    <n v="9"/>
    <n v="0.18"/>
    <n v="190.99"/>
    <n v="90.019999999999982"/>
    <s v="profit"/>
  </r>
  <r>
    <s v="fd21e9f5-bbf7-456b-9ce3-c6db9a066be7"/>
    <d v="2023-09-28T00:00:00"/>
    <d v="2023-09-28T00:00:00"/>
    <x v="0"/>
    <x v="11"/>
    <s v="Q4"/>
    <n v="0"/>
    <x v="3"/>
    <x v="0"/>
    <x v="2"/>
    <x v="2"/>
    <s v="Accessories anything"/>
    <x v="667"/>
    <n v="9"/>
    <n v="0.5"/>
    <n v="339.94"/>
    <n v="373.61999999999995"/>
    <s v="profit"/>
  </r>
  <r>
    <s v="1cec7251-3363-4e1d-a62a-8410b77a9201"/>
    <d v="2023-02-01T00:00:00"/>
    <d v="2023-02-01T00:00:00"/>
    <x v="1"/>
    <x v="6"/>
    <s v="Q1"/>
    <n v="0"/>
    <x v="1"/>
    <x v="4"/>
    <x v="1"/>
    <x v="1"/>
    <s v="Paper recently"/>
    <x v="668"/>
    <n v="7"/>
    <n v="0.01"/>
    <n v="60.2"/>
    <n v="39.17"/>
    <s v="profit"/>
  </r>
  <r>
    <s v="d5aaa967-698f-46a9-8f11-33dc1404e664"/>
    <d v="2023-11-15T00:00:00"/>
    <d v="2023-11-20T00:00:00"/>
    <x v="1"/>
    <x v="5"/>
    <s v="Q4"/>
    <n v="5"/>
    <x v="0"/>
    <x v="7"/>
    <x v="0"/>
    <x v="0"/>
    <s v="Tables amount"/>
    <x v="669"/>
    <n v="7"/>
    <n v="0.44"/>
    <n v="429.17"/>
    <n v="368.05"/>
    <s v="profit"/>
  </r>
  <r>
    <s v="1f60fcab-2201-4e9b-811f-e8677bbefb0a"/>
    <d v="2024-08-31T00:00:00"/>
    <d v="2024-09-01T00:00:00"/>
    <x v="1"/>
    <x v="11"/>
    <s v="Q4"/>
    <n v="1"/>
    <x v="1"/>
    <x v="7"/>
    <x v="2"/>
    <x v="5"/>
    <s v="Phones camera"/>
    <x v="670"/>
    <n v="6"/>
    <n v="0.34"/>
    <n v="6.9"/>
    <n v="78.64"/>
    <s v="profit"/>
  </r>
  <r>
    <s v="e3d14c5d-2da8-4433-a1b1-ee86c4670e62"/>
    <d v="2024-08-08T00:00:00"/>
    <d v="2024-08-11T00:00:00"/>
    <x v="0"/>
    <x v="2"/>
    <s v="Q3"/>
    <n v="3"/>
    <x v="1"/>
    <x v="3"/>
    <x v="2"/>
    <x v="6"/>
    <s v="Laptops traditional"/>
    <x v="671"/>
    <n v="2"/>
    <n v="0.39"/>
    <n v="50.01"/>
    <n v="75.27000000000001"/>
    <s v="profit"/>
  </r>
  <r>
    <s v="28d0529c-07e1-4df5-8d07-e17df3d1f51f"/>
    <d v="2023-08-09T00:00:00"/>
    <d v="2023-08-13T00:00:00"/>
    <x v="0"/>
    <x v="2"/>
    <s v="Q3"/>
    <n v="4"/>
    <x v="2"/>
    <x v="6"/>
    <x v="1"/>
    <x v="1"/>
    <s v="Paper design"/>
    <x v="672"/>
    <n v="9"/>
    <n v="0.49"/>
    <n v="109.1"/>
    <n v="136.39000000000001"/>
    <s v="profit"/>
  </r>
  <r>
    <s v="f0d8f64a-503c-4e61-a82d-111de2e90ee9"/>
    <d v="2024-07-27T00:00:00"/>
    <d v="2024-07-29T00:00:00"/>
    <x v="1"/>
    <x v="7"/>
    <s v="Q3"/>
    <n v="2"/>
    <x v="3"/>
    <x v="1"/>
    <x v="0"/>
    <x v="3"/>
    <s v="Bookcases study"/>
    <x v="673"/>
    <n v="5"/>
    <n v="0.19"/>
    <n v="523.83000000000004"/>
    <n v="169.36"/>
    <s v="profit"/>
  </r>
  <r>
    <s v="05a164cc-5e76-4f93-9b1e-1af58b9fc6a4"/>
    <d v="2023-04-05T00:00:00"/>
    <d v="2023-04-11T00:00:00"/>
    <x v="0"/>
    <x v="1"/>
    <s v="Q2"/>
    <n v="6"/>
    <x v="0"/>
    <x v="1"/>
    <x v="1"/>
    <x v="8"/>
    <s v="Binders yeah"/>
    <x v="674"/>
    <n v="10"/>
    <n v="0.1"/>
    <n v="533.22"/>
    <n v="107.44999999999993"/>
    <s v="profit"/>
  </r>
  <r>
    <s v="c96e9d81-7492-47e4-8426-5d6f0bb7e2c3"/>
    <d v="2023-08-09T00:00:00"/>
    <d v="2023-08-09T00:00:00"/>
    <x v="1"/>
    <x v="2"/>
    <s v="Q3"/>
    <n v="0"/>
    <x v="3"/>
    <x v="1"/>
    <x v="0"/>
    <x v="0"/>
    <s v="Tables director"/>
    <x v="675"/>
    <n v="4"/>
    <n v="0.45"/>
    <n v="383.81"/>
    <n v="363.03000000000003"/>
    <s v="profit"/>
  </r>
  <r>
    <s v="9553979d-04d9-4013-b275-0230ed0c4661"/>
    <d v="2024-10-04T00:00:00"/>
    <d v="2024-10-12T00:00:00"/>
    <x v="1"/>
    <x v="4"/>
    <s v="Q4"/>
    <n v="8"/>
    <x v="3"/>
    <x v="6"/>
    <x v="2"/>
    <x v="6"/>
    <s v="Laptops left"/>
    <x v="676"/>
    <n v="4"/>
    <n v="0.42"/>
    <n v="449.54"/>
    <n v="382.49999999999994"/>
    <s v="profit"/>
  </r>
  <r>
    <s v="d480875d-1818-4c2a-bbf0-15ad9cb32a06"/>
    <d v="2024-06-11T00:00:00"/>
    <d v="2024-06-20T00:00:00"/>
    <x v="0"/>
    <x v="3"/>
    <s v="Q3"/>
    <n v="9"/>
    <x v="2"/>
    <x v="3"/>
    <x v="0"/>
    <x v="0"/>
    <s v="Tables member"/>
    <x v="677"/>
    <n v="5"/>
    <n v="-0.1"/>
    <n v="227.14"/>
    <n v="140.38999999999999"/>
    <s v="profit"/>
  </r>
  <r>
    <s v="0eeda6f9-a6a1-4fcd-b4bd-ed79292bb88c"/>
    <d v="2023-11-10T00:00:00"/>
    <d v="2023-11-15T00:00:00"/>
    <x v="0"/>
    <x v="5"/>
    <s v="Q4"/>
    <n v="5"/>
    <x v="0"/>
    <x v="7"/>
    <x v="2"/>
    <x v="5"/>
    <s v="Phones camera"/>
    <x v="678"/>
    <n v="2"/>
    <n v="0.47"/>
    <n v="98.24"/>
    <n v="174.99"/>
    <s v="profit"/>
  </r>
  <r>
    <s v="888b7ca5-a61d-45ec-91ab-8dfbf942c75d"/>
    <d v="2023-09-16T00:00:00"/>
    <d v="2023-09-21T00:00:00"/>
    <x v="1"/>
    <x v="11"/>
    <s v="Q4"/>
    <n v="5"/>
    <x v="3"/>
    <x v="3"/>
    <x v="0"/>
    <x v="0"/>
    <s v="Tables head"/>
    <x v="679"/>
    <n v="2"/>
    <n v="0.19"/>
    <n v="180.21"/>
    <n v="85.429999999999978"/>
    <s v="profit"/>
  </r>
  <r>
    <s v="344a7946-d40f-4cd5-97ed-59bdddbadb03"/>
    <d v="2024-10-19T00:00:00"/>
    <d v="2024-10-26T00:00:00"/>
    <x v="1"/>
    <x v="4"/>
    <s v="Q4"/>
    <n v="7"/>
    <x v="1"/>
    <x v="3"/>
    <x v="2"/>
    <x v="6"/>
    <s v="Laptops break"/>
    <x v="680"/>
    <n v="10"/>
    <n v="0.01"/>
    <n v="349.98"/>
    <n v="35.609999999999957"/>
    <s v="profit"/>
  </r>
  <r>
    <s v="c59a0394-99a7-493d-b98b-da0c4b396ea2"/>
    <d v="2024-04-17T00:00:00"/>
    <d v="2024-04-19T00:00:00"/>
    <x v="0"/>
    <x v="1"/>
    <s v="Q2"/>
    <n v="2"/>
    <x v="2"/>
    <x v="0"/>
    <x v="2"/>
    <x v="5"/>
    <s v="Phones drop"/>
    <x v="681"/>
    <n v="10"/>
    <n v="0.25"/>
    <n v="307.2"/>
    <n v="160.40000000000003"/>
    <s v="profit"/>
  </r>
  <r>
    <s v="2c4caca3-a1c4-4eb8-9eb0-8c724f870084"/>
    <d v="2023-04-29T00:00:00"/>
    <d v="2023-04-30T00:00:00"/>
    <x v="0"/>
    <x v="1"/>
    <s v="Q2"/>
    <n v="1"/>
    <x v="1"/>
    <x v="4"/>
    <x v="0"/>
    <x v="3"/>
    <s v="Bookcases firm"/>
    <x v="682"/>
    <n v="8"/>
    <n v="0.5"/>
    <n v="-19"/>
    <n v="43.41"/>
    <s v="loss"/>
  </r>
  <r>
    <s v="925a0940-3390-4df0-9142-bdc6ae9182b4"/>
    <d v="2023-05-28T00:00:00"/>
    <d v="2023-06-05T00:00:00"/>
    <x v="1"/>
    <x v="3"/>
    <s v="Q3"/>
    <n v="8"/>
    <x v="3"/>
    <x v="4"/>
    <x v="2"/>
    <x v="6"/>
    <s v="Laptops lead"/>
    <x v="683"/>
    <n v="8"/>
    <n v="0.01"/>
    <n v="359.92"/>
    <n v="20.75"/>
    <s v="profit"/>
  </r>
  <r>
    <s v="d2de873d-85fa-4cce-8cf6-c9b7becbbfbb"/>
    <d v="2024-05-22T00:00:00"/>
    <d v="2024-05-26T00:00:00"/>
    <x v="1"/>
    <x v="8"/>
    <s v="Q2"/>
    <n v="4"/>
    <x v="3"/>
    <x v="0"/>
    <x v="1"/>
    <x v="4"/>
    <s v="Pens reach"/>
    <x v="684"/>
    <n v="10"/>
    <n v="0.02"/>
    <n v="579.72"/>
    <n v="36.860000000000014"/>
    <s v="profit"/>
  </r>
  <r>
    <s v="f97f65b3-ba77-4f41-817c-025a757e7c09"/>
    <d v="2024-06-29T00:00:00"/>
    <d v="2024-07-05T00:00:00"/>
    <x v="0"/>
    <x v="7"/>
    <s v="Q3"/>
    <n v="6"/>
    <x v="3"/>
    <x v="0"/>
    <x v="2"/>
    <x v="6"/>
    <s v="Laptops full"/>
    <x v="685"/>
    <n v="3"/>
    <n v="0.43"/>
    <n v="203.7"/>
    <n v="195.41000000000003"/>
    <s v="profit"/>
  </r>
  <r>
    <s v="b7f42914-13e4-4321-a0ee-4991144992f2"/>
    <d v="2024-01-29T00:00:00"/>
    <d v="2024-01-31T00:00:00"/>
    <x v="0"/>
    <x v="0"/>
    <s v="Q1"/>
    <n v="2"/>
    <x v="1"/>
    <x v="7"/>
    <x v="1"/>
    <x v="1"/>
    <s v="Paper care"/>
    <x v="686"/>
    <n v="5"/>
    <n v="0.1"/>
    <n v="711.89"/>
    <n v="90.409999999999968"/>
    <s v="profit"/>
  </r>
  <r>
    <s v="c79ccbee-e215-476f-a61f-9f4189d755ce"/>
    <d v="2022-12-06T00:00:00"/>
    <d v="2022-12-08T00:00:00"/>
    <x v="0"/>
    <x v="9"/>
    <s v="Q4"/>
    <n v="2"/>
    <x v="1"/>
    <x v="7"/>
    <x v="1"/>
    <x v="8"/>
    <s v="Binders red"/>
    <x v="687"/>
    <n v="4"/>
    <n v="0.42"/>
    <n v="250.68"/>
    <n v="200.49"/>
    <s v="profit"/>
  </r>
  <r>
    <s v="8b307394-6959-4e5b-bb24-28d30c263212"/>
    <d v="2023-01-03T00:00:00"/>
    <d v="2023-01-10T00:00:00"/>
    <x v="3"/>
    <x v="0"/>
    <s v="Q1"/>
    <n v="7"/>
    <x v="2"/>
    <x v="1"/>
    <x v="1"/>
    <x v="8"/>
    <s v="Binders gas"/>
    <x v="688"/>
    <n v="4"/>
    <n v="0.33"/>
    <n v="246.98"/>
    <n v="180.79"/>
    <s v="profit"/>
  </r>
  <r>
    <s v="f5ee9308-a9bb-4018-97ca-213496056433"/>
    <d v="2023-08-22T00:00:00"/>
    <d v="2023-08-31T00:00:00"/>
    <x v="1"/>
    <x v="2"/>
    <s v="Q3"/>
    <n v="9"/>
    <x v="0"/>
    <x v="0"/>
    <x v="0"/>
    <x v="3"/>
    <s v="Bookcases especially"/>
    <x v="689"/>
    <n v="4"/>
    <n v="0.43"/>
    <n v="448.12"/>
    <n v="409.33000000000004"/>
    <s v="profit"/>
  </r>
  <r>
    <s v="f2277d47-7d81-4816-abb3-2d844b52103d"/>
    <d v="2023-06-28T00:00:00"/>
    <d v="2023-07-05T00:00:00"/>
    <x v="1"/>
    <x v="7"/>
    <s v="Q3"/>
    <n v="7"/>
    <x v="1"/>
    <x v="1"/>
    <x v="0"/>
    <x v="7"/>
    <s v="Chairs until"/>
    <x v="690"/>
    <n v="2"/>
    <n v="0.23"/>
    <n v="12.44"/>
    <n v="26.03"/>
    <s v="profit"/>
  </r>
  <r>
    <s v="b1f83930-b569-4999-8ad0-9bf6e80eeaed"/>
    <d v="2023-09-07T00:00:00"/>
    <d v="2023-09-07T00:00:00"/>
    <x v="1"/>
    <x v="11"/>
    <s v="Q4"/>
    <n v="0"/>
    <x v="2"/>
    <x v="2"/>
    <x v="2"/>
    <x v="5"/>
    <s v="Phones term"/>
    <x v="691"/>
    <n v="5"/>
    <n v="0.27"/>
    <n v="-11.16"/>
    <n v="38.61"/>
    <s v="loss"/>
  </r>
  <r>
    <s v="3ef228b9-80a2-4246-acef-23ab564bca4c"/>
    <d v="2023-10-30T00:00:00"/>
    <d v="2023-11-04T00:00:00"/>
    <x v="1"/>
    <x v="5"/>
    <s v="Q4"/>
    <n v="5"/>
    <x v="0"/>
    <x v="0"/>
    <x v="0"/>
    <x v="0"/>
    <s v="Tables large"/>
    <x v="692"/>
    <n v="6"/>
    <n v="0.28999999999999998"/>
    <n v="415.95"/>
    <n v="217.26000000000005"/>
    <s v="profit"/>
  </r>
  <r>
    <s v="37aa36ac-eced-466b-bc49-3a09cf5d3ba6"/>
    <d v="2024-03-01T00:00:00"/>
    <d v="2024-03-08T00:00:00"/>
    <x v="1"/>
    <x v="10"/>
    <s v="Q2"/>
    <n v="7"/>
    <x v="1"/>
    <x v="4"/>
    <x v="2"/>
    <x v="5"/>
    <s v="Phones value"/>
    <x v="693"/>
    <n v="7"/>
    <n v="0.34"/>
    <n v="63.68"/>
    <n v="78.519999999999982"/>
    <s v="profit"/>
  </r>
  <r>
    <s v="cbd0fca9-7163-49ea-a91e-aef0038625ba"/>
    <d v="2022-12-23T00:00:00"/>
    <d v="2022-12-30T00:00:00"/>
    <x v="0"/>
    <x v="9"/>
    <s v="Q4"/>
    <n v="7"/>
    <x v="3"/>
    <x v="3"/>
    <x v="1"/>
    <x v="8"/>
    <s v="Binders still"/>
    <x v="694"/>
    <n v="8"/>
    <n v="0.31"/>
    <n v="207.59"/>
    <n v="159.32000000000002"/>
    <s v="profit"/>
  </r>
  <r>
    <s v="6dfd2fc2-006b-4c96-b612-3de4e240bc05"/>
    <d v="2024-05-02T00:00:00"/>
    <d v="2024-05-05T00:00:00"/>
    <x v="3"/>
    <x v="8"/>
    <s v="Q2"/>
    <n v="3"/>
    <x v="1"/>
    <x v="3"/>
    <x v="0"/>
    <x v="3"/>
    <s v="Bookcases audience"/>
    <x v="695"/>
    <n v="7"/>
    <n v="0.15"/>
    <n v="352.19"/>
    <n v="95.470000000000027"/>
    <s v="profit"/>
  </r>
  <r>
    <s v="f1a8042a-a612-4beb-a770-e40b7fde839a"/>
    <d v="2024-06-15T00:00:00"/>
    <d v="2024-06-15T00:00:00"/>
    <x v="0"/>
    <x v="3"/>
    <s v="Q3"/>
    <n v="0"/>
    <x v="0"/>
    <x v="5"/>
    <x v="0"/>
    <x v="3"/>
    <s v="Bookcases call"/>
    <x v="696"/>
    <n v="3"/>
    <n v="0.39"/>
    <n v="571.38"/>
    <n v="402.46000000000004"/>
    <s v="profit"/>
  </r>
  <r>
    <s v="9dc21d45-a103-438d-b246-8c70804127e7"/>
    <d v="2024-08-01T00:00:00"/>
    <d v="2024-08-02T00:00:00"/>
    <x v="0"/>
    <x v="2"/>
    <s v="Q3"/>
    <n v="1"/>
    <x v="3"/>
    <x v="2"/>
    <x v="1"/>
    <x v="4"/>
    <s v="Pens develop"/>
    <x v="697"/>
    <n v="5"/>
    <n v="0.47"/>
    <n v="379.51"/>
    <n v="396.9"/>
    <s v="profit"/>
  </r>
  <r>
    <s v="55b96210-0218-4afe-95d5-3ccf68c309c1"/>
    <d v="2024-05-25T00:00:00"/>
    <d v="2024-06-02T00:00:00"/>
    <x v="0"/>
    <x v="3"/>
    <s v="Q3"/>
    <n v="8"/>
    <x v="2"/>
    <x v="6"/>
    <x v="0"/>
    <x v="0"/>
    <s v="Tables piece"/>
    <x v="698"/>
    <n v="2"/>
    <n v="0.28000000000000003"/>
    <n v="532.96"/>
    <n v="231.01999999999998"/>
    <s v="profit"/>
  </r>
  <r>
    <s v="56fa6ef5-6bf7-4e4a-bf19-82487d533928"/>
    <d v="2024-02-22T00:00:00"/>
    <d v="2024-02-28T00:00:00"/>
    <x v="0"/>
    <x v="6"/>
    <s v="Q1"/>
    <n v="6"/>
    <x v="1"/>
    <x v="2"/>
    <x v="0"/>
    <x v="7"/>
    <s v="Chairs brother"/>
    <x v="699"/>
    <n v="5"/>
    <n v="0.1"/>
    <n v="50.6"/>
    <n v="23.9"/>
    <s v="profit"/>
  </r>
  <r>
    <s v="da432d85-c358-47d4-9182-46b9b85a0ff7"/>
    <d v="2023-07-06T00:00:00"/>
    <d v="2023-07-13T00:00:00"/>
    <x v="0"/>
    <x v="7"/>
    <s v="Q3"/>
    <n v="7"/>
    <x v="3"/>
    <x v="2"/>
    <x v="0"/>
    <x v="7"/>
    <s v="Chairs teacher"/>
    <x v="700"/>
    <n v="2"/>
    <n v="0.37"/>
    <n v="87.25"/>
    <n v="110.11000000000001"/>
    <s v="profit"/>
  </r>
  <r>
    <s v="119ebdc0-9d1b-4a07-b891-6a82ef55d01b"/>
    <d v="2023-10-14T00:00:00"/>
    <d v="2023-10-14T00:00:00"/>
    <x v="1"/>
    <x v="4"/>
    <s v="Q4"/>
    <n v="0"/>
    <x v="0"/>
    <x v="4"/>
    <x v="0"/>
    <x v="3"/>
    <s v="Bookcases will"/>
    <x v="701"/>
    <n v="8"/>
    <n v="0.37"/>
    <n v="325.58"/>
    <n v="207.61000000000007"/>
    <s v="profit"/>
  </r>
  <r>
    <s v="cdf3abdb-9d21-4e3f-a9ec-1b0e2303ecce"/>
    <d v="2022-12-05T00:00:00"/>
    <d v="2022-12-09T00:00:00"/>
    <x v="1"/>
    <x v="9"/>
    <s v="Q4"/>
    <n v="4"/>
    <x v="1"/>
    <x v="5"/>
    <x v="1"/>
    <x v="8"/>
    <s v="Binders finish"/>
    <x v="702"/>
    <n v="10"/>
    <n v="0.15"/>
    <n v="804.42"/>
    <n v="165.86"/>
    <s v="profit"/>
  </r>
  <r>
    <s v="6b18990c-52c7-40c0-a8e6-ee3d34f8bc36"/>
    <d v="2023-06-26T00:00:00"/>
    <d v="2023-06-27T00:00:00"/>
    <x v="3"/>
    <x v="3"/>
    <s v="Q3"/>
    <n v="1"/>
    <x v="1"/>
    <x v="2"/>
    <x v="1"/>
    <x v="8"/>
    <s v="Binders eight"/>
    <x v="703"/>
    <n v="7"/>
    <n v="0.02"/>
    <n v="841.85"/>
    <n v="42.600000000000023"/>
    <s v="profit"/>
  </r>
  <r>
    <s v="1541f03e-589a-4ebc-b3c2-0fcaecd3749e"/>
    <d v="2024-04-22T00:00:00"/>
    <d v="2024-04-28T00:00:00"/>
    <x v="1"/>
    <x v="1"/>
    <s v="Q2"/>
    <n v="6"/>
    <x v="0"/>
    <x v="3"/>
    <x v="0"/>
    <x v="3"/>
    <s v="Bookcases economy"/>
    <x v="704"/>
    <n v="10"/>
    <n v="0.36"/>
    <n v="417.41"/>
    <n v="308.3"/>
    <s v="profit"/>
  </r>
  <r>
    <s v="98f7abb9-e3cf-4504-a170-fc0ba81292cb"/>
    <d v="2023-11-15T00:00:00"/>
    <d v="2023-11-15T00:00:00"/>
    <x v="0"/>
    <x v="5"/>
    <s v="Q4"/>
    <n v="0"/>
    <x v="1"/>
    <x v="5"/>
    <x v="2"/>
    <x v="5"/>
    <s v="Phones total"/>
    <x v="705"/>
    <n v="1"/>
    <n v="0.39"/>
    <n v="166.07"/>
    <n v="165.64"/>
    <s v="profit"/>
  </r>
  <r>
    <s v="9b1c7e03-f072-48f5-943a-c446452a14bc"/>
    <d v="2023-04-27T00:00:00"/>
    <d v="2023-05-05T00:00:00"/>
    <x v="1"/>
    <x v="8"/>
    <s v="Q2"/>
    <n v="8"/>
    <x v="0"/>
    <x v="4"/>
    <x v="2"/>
    <x v="6"/>
    <s v="Laptops establish"/>
    <x v="706"/>
    <n v="10"/>
    <n v="0.31"/>
    <n v="345.69"/>
    <n v="215.31"/>
    <s v="profit"/>
  </r>
  <r>
    <s v="ca563c40-9770-4298-a4e7-f3a5c166611e"/>
    <d v="2024-07-23T00:00:00"/>
    <d v="2024-07-27T00:00:00"/>
    <x v="1"/>
    <x v="7"/>
    <s v="Q3"/>
    <n v="4"/>
    <x v="1"/>
    <x v="4"/>
    <x v="1"/>
    <x v="1"/>
    <s v="Paper test"/>
    <x v="707"/>
    <n v="9"/>
    <n v="0.26"/>
    <n v="345.54"/>
    <n v="170.13999999999993"/>
    <s v="profit"/>
  </r>
  <r>
    <s v="c39134d1-bf8c-4c69-9054-72dcc05618d9"/>
    <d v="2024-01-11T00:00:00"/>
    <d v="2024-01-13T00:00:00"/>
    <x v="0"/>
    <x v="0"/>
    <s v="Q1"/>
    <n v="2"/>
    <x v="1"/>
    <x v="6"/>
    <x v="2"/>
    <x v="2"/>
    <s v="Accessories him"/>
    <x v="708"/>
    <n v="2"/>
    <n v="0.36"/>
    <n v="281.86"/>
    <n v="183.84999999999997"/>
    <s v="profit"/>
  </r>
  <r>
    <s v="25e7a8ef-cd87-4d3a-a6ab-fa4ca0a612ee"/>
    <d v="2024-02-02T00:00:00"/>
    <d v="2024-02-07T00:00:00"/>
    <x v="0"/>
    <x v="6"/>
    <s v="Q1"/>
    <n v="5"/>
    <x v="1"/>
    <x v="6"/>
    <x v="1"/>
    <x v="1"/>
    <s v="Paper hit"/>
    <x v="709"/>
    <n v="9"/>
    <n v="0.31"/>
    <n v="373.05"/>
    <n v="223.61999999999995"/>
    <s v="profit"/>
  </r>
  <r>
    <s v="6c225293-9e94-4170-9ee1-652315c0f515"/>
    <d v="2024-07-15T00:00:00"/>
    <d v="2024-07-22T00:00:00"/>
    <x v="0"/>
    <x v="7"/>
    <s v="Q3"/>
    <n v="7"/>
    <x v="3"/>
    <x v="4"/>
    <x v="2"/>
    <x v="2"/>
    <s v="Accessories kitchen"/>
    <x v="710"/>
    <n v="8"/>
    <n v="0.43"/>
    <n v="60.53"/>
    <n v="130.83000000000001"/>
    <s v="profit"/>
  </r>
  <r>
    <s v="050c17e7-0f18-4f4d-ad33-22dab5520958"/>
    <d v="2023-09-18T00:00:00"/>
    <d v="2023-09-22T00:00:00"/>
    <x v="0"/>
    <x v="11"/>
    <s v="Q4"/>
    <n v="4"/>
    <x v="3"/>
    <x v="2"/>
    <x v="0"/>
    <x v="3"/>
    <s v="Bookcases call"/>
    <x v="711"/>
    <n v="8"/>
    <n v="0.4"/>
    <n v="340.74"/>
    <n v="262.93999999999994"/>
    <s v="profit"/>
  </r>
  <r>
    <s v="9e0ce0f3-c513-43ac-8b4a-cf517f0f0dcd"/>
    <d v="2024-05-16T00:00:00"/>
    <d v="2024-05-22T00:00:00"/>
    <x v="1"/>
    <x v="8"/>
    <s v="Q2"/>
    <n v="6"/>
    <x v="0"/>
    <x v="4"/>
    <x v="2"/>
    <x v="6"/>
    <s v="Laptops explain"/>
    <x v="712"/>
    <n v="2"/>
    <n v="0.02"/>
    <n v="962.9"/>
    <n v="31.600000000000023"/>
    <s v="profit"/>
  </r>
  <r>
    <s v="35acc5d0-cd06-45a4-ba70-70cd6837a5dd"/>
    <d v="2024-11-29T00:00:00"/>
    <d v="2024-12-03T00:00:00"/>
    <x v="0"/>
    <x v="9"/>
    <s v="Q4"/>
    <n v="4"/>
    <x v="3"/>
    <x v="4"/>
    <x v="0"/>
    <x v="0"/>
    <s v="Tables effort"/>
    <x v="713"/>
    <n v="1"/>
    <n v="0.28000000000000003"/>
    <n v="498.18"/>
    <n v="251.05"/>
    <s v="profit"/>
  </r>
  <r>
    <s v="8816ec64-9f34-4621-99bb-77a7e0d29a20"/>
    <d v="2023-10-18T00:00:00"/>
    <d v="2023-10-26T00:00:00"/>
    <x v="0"/>
    <x v="4"/>
    <s v="Q4"/>
    <n v="8"/>
    <x v="2"/>
    <x v="1"/>
    <x v="1"/>
    <x v="8"/>
    <s v="Binders road"/>
    <x v="714"/>
    <n v="2"/>
    <n v="0.46"/>
    <n v="306.35000000000002"/>
    <n v="329.54999999999995"/>
    <s v="profit"/>
  </r>
  <r>
    <s v="5067ae81-a36c-4076-acd9-e7d8e3a52f9f"/>
    <d v="2023-04-28T00:00:00"/>
    <d v="2023-05-01T00:00:00"/>
    <x v="1"/>
    <x v="8"/>
    <s v="Q2"/>
    <n v="3"/>
    <x v="1"/>
    <x v="7"/>
    <x v="2"/>
    <x v="6"/>
    <s v="Laptops remember"/>
    <x v="715"/>
    <n v="8"/>
    <n v="0.38"/>
    <n v="583.09"/>
    <n v="379.69999999999993"/>
    <s v="profit"/>
  </r>
  <r>
    <s v="c7ed45e2-bd13-4c1a-9d83-a85f99c4cc4a"/>
    <d v="2024-10-30T00:00:00"/>
    <d v="2024-11-05T00:00:00"/>
    <x v="1"/>
    <x v="5"/>
    <s v="Q4"/>
    <n v="6"/>
    <x v="1"/>
    <x v="0"/>
    <x v="2"/>
    <x v="5"/>
    <s v="Phones usually"/>
    <x v="716"/>
    <n v="3"/>
    <n v="0.19"/>
    <n v="122.82"/>
    <n v="55.960000000000008"/>
    <s v="profit"/>
  </r>
  <r>
    <s v="4c2dacf5-cb95-42f6-8f11-6ada989af648"/>
    <d v="2023-09-13T00:00:00"/>
    <d v="2023-09-20T00:00:00"/>
    <x v="0"/>
    <x v="11"/>
    <s v="Q4"/>
    <n v="7"/>
    <x v="3"/>
    <x v="4"/>
    <x v="0"/>
    <x v="0"/>
    <s v="Tables test"/>
    <x v="717"/>
    <n v="5"/>
    <n v="0.15"/>
    <n v="362.17"/>
    <n v="102.19"/>
    <s v="profit"/>
  </r>
  <r>
    <s v="29999691-0918-402e-abe5-81e629d8164f"/>
    <d v="2024-02-26T00:00:00"/>
    <d v="2024-03-05T00:00:00"/>
    <x v="1"/>
    <x v="10"/>
    <s v="Q2"/>
    <n v="8"/>
    <x v="3"/>
    <x v="4"/>
    <x v="2"/>
    <x v="2"/>
    <s v="Accessories teach"/>
    <x v="718"/>
    <n v="7"/>
    <n v="0.02"/>
    <n v="800.33"/>
    <n v="42.459999999999923"/>
    <s v="profit"/>
  </r>
  <r>
    <s v="b96c740d-13e1-43b7-8fff-4e90135097f8"/>
    <d v="2024-09-07T00:00:00"/>
    <d v="2024-09-08T00:00:00"/>
    <x v="0"/>
    <x v="11"/>
    <s v="Q4"/>
    <n v="1"/>
    <x v="2"/>
    <x v="3"/>
    <x v="0"/>
    <x v="7"/>
    <s v="Chairs involve"/>
    <x v="719"/>
    <n v="10"/>
    <n v="0.35"/>
    <n v="513.80999999999995"/>
    <n v="308.81000000000006"/>
    <s v="profit"/>
  </r>
  <r>
    <s v="065ee20e-0244-4adb-bf01-de317df7d196"/>
    <d v="2023-06-22T00:00:00"/>
    <d v="2023-06-24T00:00:00"/>
    <x v="0"/>
    <x v="3"/>
    <s v="Q3"/>
    <n v="2"/>
    <x v="3"/>
    <x v="3"/>
    <x v="1"/>
    <x v="1"/>
    <s v="Paper force"/>
    <x v="720"/>
    <n v="10"/>
    <n v="0.41"/>
    <n v="417.33"/>
    <n v="308.79000000000002"/>
    <s v="profit"/>
  </r>
  <r>
    <s v="de6fd4b4-83d2-4aed-a49d-c12edac4471f"/>
    <d v="2023-04-22T00:00:00"/>
    <d v="2023-04-22T00:00:00"/>
    <x v="1"/>
    <x v="1"/>
    <s v="Q2"/>
    <n v="0"/>
    <x v="2"/>
    <x v="7"/>
    <x v="0"/>
    <x v="0"/>
    <s v="Tables or"/>
    <x v="721"/>
    <n v="3"/>
    <n v="0.37"/>
    <n v="162.68"/>
    <n v="121.38"/>
    <s v="profit"/>
  </r>
  <r>
    <s v="8d2d74c2-a789-47ef-ad94-e53cdae9cc73"/>
    <d v="2024-01-23T00:00:00"/>
    <d v="2024-01-29T00:00:00"/>
    <x v="1"/>
    <x v="0"/>
    <s v="Q1"/>
    <n v="6"/>
    <x v="0"/>
    <x v="1"/>
    <x v="0"/>
    <x v="0"/>
    <s v="Tables deal"/>
    <x v="722"/>
    <n v="6"/>
    <n v="0.06"/>
    <n v="798.23"/>
    <n v="79.350000000000023"/>
    <s v="profit"/>
  </r>
  <r>
    <s v="bcffdff2-d55b-48e3-b1da-b78226636d73"/>
    <m/>
    <d v="2024-01-19T00:00:00"/>
    <x v="0"/>
    <x v="0"/>
    <s v="Q1"/>
    <n v="45310"/>
    <x v="4"/>
    <x v="3"/>
    <x v="0"/>
    <x v="0"/>
    <s v="Tables official"/>
    <x v="59"/>
    <n v="9"/>
    <n v="0.35"/>
    <n v="30.21"/>
    <e v="#VALUE!"/>
    <s v="profit"/>
  </r>
  <r>
    <s v="bacf84f0-b12a-405e-a987-fec92b9accfe"/>
    <d v="2024-01-03T00:00:00"/>
    <d v="2024-01-03T00:00:00"/>
    <x v="2"/>
    <x v="0"/>
    <s v="Q1"/>
    <n v="0"/>
    <x v="1"/>
    <x v="0"/>
    <x v="1"/>
    <x v="8"/>
    <s v="Binders market"/>
    <x v="723"/>
    <n v="6"/>
    <n v="0.31"/>
    <n v="292.95"/>
    <n v="198.71000000000004"/>
    <s v="profit"/>
  </r>
  <r>
    <s v="161963fd-5ba7-4601-b5f8-8effbad839b4"/>
    <d v="2024-02-24T00:00:00"/>
    <d v="2024-02-26T00:00:00"/>
    <x v="0"/>
    <x v="6"/>
    <s v="Q1"/>
    <n v="2"/>
    <x v="1"/>
    <x v="3"/>
    <x v="2"/>
    <x v="2"/>
    <s v="Accessories use"/>
    <x v="724"/>
    <n v="6"/>
    <n v="0.22"/>
    <n v="71.39"/>
    <n v="46.989999999999995"/>
    <s v="profit"/>
  </r>
  <r>
    <s v="87fd29cf-9904-4c11-97e5-9916b17d69a9"/>
    <d v="2024-02-13T00:00:00"/>
    <d v="2024-02-22T00:00:00"/>
    <x v="0"/>
    <x v="6"/>
    <s v="Q1"/>
    <n v="9"/>
    <x v="3"/>
    <x v="6"/>
    <x v="1"/>
    <x v="4"/>
    <s v="Pens already"/>
    <x v="725"/>
    <n v="7"/>
    <n v="0.24"/>
    <n v="299.07"/>
    <n v="152.04000000000002"/>
    <s v="profit"/>
  </r>
  <r>
    <s v="17a08403-8a29-4717-8edd-e4287fa0feb6"/>
    <d v="2024-11-03T00:00:00"/>
    <d v="2024-11-03T00:00:00"/>
    <x v="0"/>
    <x v="5"/>
    <s v="Q4"/>
    <n v="0"/>
    <x v="0"/>
    <x v="7"/>
    <x v="0"/>
    <x v="0"/>
    <s v="Tables team"/>
    <x v="726"/>
    <n v="10"/>
    <n v="0.17"/>
    <n v="29.64"/>
    <n v="34.980000000000004"/>
    <s v="profit"/>
  </r>
  <r>
    <s v="98d56f68-a1a6-4111-8d67-e15d7994606f"/>
    <d v="2024-08-31T00:00:00"/>
    <d v="2024-09-03T00:00:00"/>
    <x v="0"/>
    <x v="11"/>
    <s v="Q4"/>
    <n v="3"/>
    <x v="0"/>
    <x v="0"/>
    <x v="1"/>
    <x v="8"/>
    <s v="Binders ahead"/>
    <x v="727"/>
    <n v="10"/>
    <n v="0.46"/>
    <n v="35.049999999999997"/>
    <n v="53.430000000000007"/>
    <s v="profit"/>
  </r>
  <r>
    <s v="f64bf568-5a9a-471f-a94f-0aa072f54134"/>
    <d v="2024-11-13T00:00:00"/>
    <d v="2024-11-19T00:00:00"/>
    <x v="0"/>
    <x v="5"/>
    <s v="Q4"/>
    <n v="6"/>
    <x v="2"/>
    <x v="0"/>
    <x v="1"/>
    <x v="8"/>
    <s v="Binders social"/>
    <x v="728"/>
    <n v="8"/>
    <n v="0.06"/>
    <n v="-24.31"/>
    <n v="44.769999999999996"/>
    <s v="loss"/>
  </r>
  <r>
    <s v="e95fc9cc-dd8a-463d-aecd-bce67901bc5a"/>
    <d v="2024-06-19T00:00:00"/>
    <d v="2024-06-21T00:00:00"/>
    <x v="0"/>
    <x v="3"/>
    <s v="Q3"/>
    <n v="2"/>
    <x v="2"/>
    <x v="5"/>
    <x v="2"/>
    <x v="6"/>
    <s v="Laptops between"/>
    <x v="729"/>
    <n v="4"/>
    <n v="0.12"/>
    <n v="784.13"/>
    <n v="133.01999999999998"/>
    <s v="profit"/>
  </r>
  <r>
    <s v="68fefbd9-0562-4abb-a972-eee574c331ff"/>
    <d v="2023-05-12T00:00:00"/>
    <d v="2023-05-15T00:00:00"/>
    <x v="0"/>
    <x v="8"/>
    <s v="Q2"/>
    <n v="3"/>
    <x v="1"/>
    <x v="2"/>
    <x v="0"/>
    <x v="7"/>
    <s v="Chairs edge"/>
    <x v="730"/>
    <n v="10"/>
    <n v="0.48"/>
    <n v="74.12"/>
    <n v="127.19999999999999"/>
    <s v="profit"/>
  </r>
  <r>
    <s v="3901970d-befb-469f-88e7-8131ec249cee"/>
    <d v="2023-10-09T00:00:00"/>
    <d v="2023-10-14T00:00:00"/>
    <x v="1"/>
    <x v="4"/>
    <s v="Q4"/>
    <n v="5"/>
    <x v="3"/>
    <x v="7"/>
    <x v="1"/>
    <x v="4"/>
    <s v="Pens perform"/>
    <x v="731"/>
    <n v="4"/>
    <n v="0.14000000000000001"/>
    <n v="725.79"/>
    <n v="169.21000000000004"/>
    <s v="profit"/>
  </r>
  <r>
    <s v="d7c8c6bf-16bb-486d-9a6c-2f20463bc606"/>
    <d v="2023-08-22T00:00:00"/>
    <d v="2023-08-26T00:00:00"/>
    <x v="1"/>
    <x v="2"/>
    <s v="Q3"/>
    <n v="4"/>
    <x v="3"/>
    <x v="1"/>
    <x v="2"/>
    <x v="5"/>
    <s v="Phones official"/>
    <x v="732"/>
    <n v="3"/>
    <n v="0.2"/>
    <n v="662.84"/>
    <n v="227.44999999999993"/>
    <s v="profit"/>
  </r>
  <r>
    <s v="9647208f-27d4-44a2-ac44-aa626d16859e"/>
    <d v="2023-12-07T00:00:00"/>
    <d v="2023-12-07T00:00:00"/>
    <x v="1"/>
    <x v="9"/>
    <s v="Q4"/>
    <n v="0"/>
    <x v="1"/>
    <x v="2"/>
    <x v="1"/>
    <x v="4"/>
    <s v="Pens consider"/>
    <x v="733"/>
    <n v="10"/>
    <n v="7.0000000000000007E-2"/>
    <n v="533.41999999999996"/>
    <n v="87.560000000000059"/>
    <s v="profit"/>
  </r>
  <r>
    <s v="2ec8abe8-0620-468a-8143-ede9a4c333e8"/>
    <d v="2023-11-24T00:00:00"/>
    <d v="2023-11-27T00:00:00"/>
    <x v="1"/>
    <x v="5"/>
    <s v="Q4"/>
    <n v="3"/>
    <x v="0"/>
    <x v="6"/>
    <x v="0"/>
    <x v="7"/>
    <s v="Chairs stand"/>
    <x v="734"/>
    <n v="9"/>
    <n v="0.16"/>
    <n v="33.01"/>
    <n v="61.199999999999996"/>
    <s v="profit"/>
  </r>
  <r>
    <s v="53c646a6-7e4b-4029-9fb3-8bd361bfe190"/>
    <d v="2023-06-26T00:00:00"/>
    <d v="2023-07-03T00:00:00"/>
    <x v="1"/>
    <x v="7"/>
    <s v="Q3"/>
    <n v="7"/>
    <x v="0"/>
    <x v="4"/>
    <x v="2"/>
    <x v="5"/>
    <s v="Phones subject"/>
    <x v="735"/>
    <n v="10"/>
    <n v="7.0000000000000007E-2"/>
    <n v="201.12"/>
    <n v="51.359999999999985"/>
    <s v="profit"/>
  </r>
  <r>
    <s v="71509388-c75d-4543-8cf8-a305d1f2083d"/>
    <d v="2023-11-02T00:00:00"/>
    <d v="2023-11-07T00:00:00"/>
    <x v="1"/>
    <x v="5"/>
    <s v="Q4"/>
    <n v="5"/>
    <x v="0"/>
    <x v="0"/>
    <x v="1"/>
    <x v="8"/>
    <s v="Binders season"/>
    <x v="736"/>
    <n v="5"/>
    <n v="0.17"/>
    <n v="24.04"/>
    <n v="31.270000000000003"/>
    <s v="profit"/>
  </r>
  <r>
    <s v="847a4927-9a09-42b9-a40b-4b9cae67e917"/>
    <d v="2023-03-10T00:00:00"/>
    <d v="2023-03-10T00:00:00"/>
    <x v="1"/>
    <x v="10"/>
    <s v="Q2"/>
    <n v="0"/>
    <x v="3"/>
    <x v="7"/>
    <x v="2"/>
    <x v="6"/>
    <s v="Laptops large"/>
    <x v="737"/>
    <n v="4"/>
    <n v="0.44"/>
    <n v="478.71"/>
    <n v="448.15000000000003"/>
    <s v="profit"/>
  </r>
  <r>
    <s v="90f0335b-867e-4345-82f9-142ed1f9568d"/>
    <d v="2024-08-03T00:00:00"/>
    <d v="2024-08-12T00:00:00"/>
    <x v="1"/>
    <x v="2"/>
    <s v="Q3"/>
    <n v="9"/>
    <x v="3"/>
    <x v="7"/>
    <x v="1"/>
    <x v="8"/>
    <s v="Binders seat"/>
    <x v="738"/>
    <n v="10"/>
    <n v="0.16"/>
    <n v="743.85"/>
    <n v="170.75"/>
    <s v="profit"/>
  </r>
  <r>
    <s v="d4c553d2-6360-4637-b16a-8f0c9250d079"/>
    <d v="2023-08-01T00:00:00"/>
    <d v="2023-08-02T00:00:00"/>
    <x v="0"/>
    <x v="2"/>
    <s v="Q3"/>
    <n v="1"/>
    <x v="1"/>
    <x v="4"/>
    <x v="2"/>
    <x v="2"/>
    <s v="Accessories pretty"/>
    <x v="739"/>
    <n v="6"/>
    <n v="0.41"/>
    <n v="443.95"/>
    <n v="344.92"/>
    <s v="profit"/>
  </r>
  <r>
    <s v="18d97030-38b4-405a-b8b9-ea0653b2f74b"/>
    <d v="2023-08-31T00:00:00"/>
    <d v="2023-09-08T00:00:00"/>
    <x v="1"/>
    <x v="11"/>
    <s v="Q4"/>
    <n v="8"/>
    <x v="0"/>
    <x v="7"/>
    <x v="2"/>
    <x v="2"/>
    <s v="Accessories figure"/>
    <x v="740"/>
    <n v="6"/>
    <n v="0.16"/>
    <n v="798.89"/>
    <n v="176.61"/>
    <s v="profit"/>
  </r>
  <r>
    <s v="ef8b332e-c9ce-4024-99f1-81994d9ba117"/>
    <d v="2024-07-06T00:00:00"/>
    <d v="2024-07-06T00:00:00"/>
    <x v="1"/>
    <x v="7"/>
    <s v="Q3"/>
    <n v="0"/>
    <x v="2"/>
    <x v="1"/>
    <x v="1"/>
    <x v="1"/>
    <s v="Paper alone"/>
    <x v="741"/>
    <n v="4"/>
    <n v="0.23"/>
    <n v="441.36"/>
    <n v="174.03999999999996"/>
    <s v="profit"/>
  </r>
  <r>
    <s v="b280bb51-549f-43a8-919c-10bf5a43d304"/>
    <d v="2024-02-26T00:00:00"/>
    <d v="2024-03-06T00:00:00"/>
    <x v="0"/>
    <x v="10"/>
    <s v="Q2"/>
    <n v="9"/>
    <x v="0"/>
    <x v="7"/>
    <x v="2"/>
    <x v="5"/>
    <s v="Phones hour"/>
    <x v="742"/>
    <n v="9"/>
    <n v="0.36"/>
    <n v="443.54"/>
    <n v="294.8"/>
    <s v="profit"/>
  </r>
  <r>
    <s v="f3ac1c50-0fc9-41a9-9bfc-84652c2a3e18"/>
    <d v="2023-06-03T00:00:00"/>
    <d v="2023-06-04T00:00:00"/>
    <x v="0"/>
    <x v="3"/>
    <s v="Q3"/>
    <n v="1"/>
    <x v="2"/>
    <x v="2"/>
    <x v="2"/>
    <x v="5"/>
    <s v="Phones operation"/>
    <x v="743"/>
    <n v="7"/>
    <n v="0.3"/>
    <n v="501.61"/>
    <n v="271.58000000000004"/>
    <s v="profit"/>
  </r>
  <r>
    <s v="20ca1227-d53b-40c2-b62d-6a6f2d7a47e9"/>
    <d v="2024-05-21T00:00:00"/>
    <d v="2024-05-29T00:00:00"/>
    <x v="1"/>
    <x v="8"/>
    <s v="Q2"/>
    <n v="8"/>
    <x v="0"/>
    <x v="6"/>
    <x v="1"/>
    <x v="1"/>
    <s v="Paper study"/>
    <x v="744"/>
    <n v="5"/>
    <n v="0.25"/>
    <n v="469"/>
    <n v="205.95000000000005"/>
    <s v="profit"/>
  </r>
  <r>
    <s v="aed1e76e-285b-44c8-a73b-7f768b656bf9"/>
    <d v="2024-07-18T00:00:00"/>
    <d v="2024-07-25T00:00:00"/>
    <x v="0"/>
    <x v="7"/>
    <s v="Q3"/>
    <n v="7"/>
    <x v="2"/>
    <x v="1"/>
    <x v="2"/>
    <x v="2"/>
    <s v="Accessories continue"/>
    <x v="745"/>
    <n v="3"/>
    <n v="0.35"/>
    <n v="226.72"/>
    <n v="193.75000000000003"/>
    <s v="profit"/>
  </r>
  <r>
    <s v="3cf5ad47-db2b-4b3a-8810-a72fcc3a420d"/>
    <d v="2023-06-18T00:00:00"/>
    <d v="2023-06-22T00:00:00"/>
    <x v="0"/>
    <x v="3"/>
    <s v="Q3"/>
    <n v="4"/>
    <x v="1"/>
    <x v="0"/>
    <x v="0"/>
    <x v="3"/>
    <s v="Bookcases home"/>
    <x v="746"/>
    <n v="3"/>
    <n v="0.4"/>
    <n v="195.83"/>
    <n v="200.02"/>
    <s v="profit"/>
  </r>
  <r>
    <s v="e89624f2-bc83-4365-87a6-9ee33ae4264a"/>
    <d v="2024-06-10T00:00:00"/>
    <d v="2024-06-15T00:00:00"/>
    <x v="1"/>
    <x v="3"/>
    <s v="Q3"/>
    <n v="5"/>
    <x v="3"/>
    <x v="3"/>
    <x v="2"/>
    <x v="2"/>
    <s v="Accessories choice"/>
    <x v="747"/>
    <n v="8"/>
    <n v="0.24"/>
    <n v="50"/>
    <n v="36.349999999999994"/>
    <s v="profit"/>
  </r>
  <r>
    <s v="aaaada65-db2f-4dab-8183-cc7ec19b1c8f"/>
    <d v="2024-05-24T00:00:00"/>
    <d v="2024-06-02T00:00:00"/>
    <x v="0"/>
    <x v="3"/>
    <s v="Q3"/>
    <n v="9"/>
    <x v="0"/>
    <x v="0"/>
    <x v="1"/>
    <x v="4"/>
    <s v="Pens class"/>
    <x v="748"/>
    <n v="1"/>
    <n v="0.02"/>
    <n v="516.02"/>
    <n v="21.960000000000036"/>
    <s v="profit"/>
  </r>
  <r>
    <s v="87df1ff1-fb43-4bbf-b4e5-9163d6f778bc"/>
    <s v="Not a Date"/>
    <d v="2023-11-10T00:00:00"/>
    <x v="0"/>
    <x v="5"/>
    <s v="Q4"/>
    <e v="#VALUE!"/>
    <x v="3"/>
    <x v="7"/>
    <x v="0"/>
    <x v="3"/>
    <s v="Bookcases chance"/>
    <x v="749"/>
    <n v="8"/>
    <n v="0.31"/>
    <n v="472.24"/>
    <n v="230.05999999999995"/>
    <s v="profit"/>
  </r>
  <r>
    <s v="5be5c9f3-f21c-4e59-aa83-ad33fe470730"/>
    <d v="2023-11-06T00:00:00"/>
    <d v="2023-11-14T00:00:00"/>
    <x v="4"/>
    <x v="5"/>
    <s v="Q4"/>
    <n v="8"/>
    <x v="0"/>
    <x v="5"/>
    <x v="0"/>
    <x v="3"/>
    <s v="Bookcases prepare"/>
    <x v="750"/>
    <n v="10"/>
    <n v="0.16"/>
    <n v="97.73"/>
    <n v="66.95"/>
    <s v="profit"/>
  </r>
  <r>
    <s v="70550b18-e8ec-4580-85b9-6605c2f31eca"/>
    <d v="2023-05-12T00:00:00"/>
    <d v="2023-05-15T00:00:00"/>
    <x v="1"/>
    <x v="8"/>
    <s v="Q2"/>
    <n v="3"/>
    <x v="1"/>
    <x v="5"/>
    <x v="2"/>
    <x v="5"/>
    <s v="Phones compare"/>
    <x v="751"/>
    <n v="9"/>
    <n v="0.45"/>
    <n v="312.75"/>
    <n v="319.01"/>
    <s v="profit"/>
  </r>
  <r>
    <s v="ed64e362-1987-4261-b79a-165f0d26d273"/>
    <d v="2023-03-17T00:00:00"/>
    <d v="2023-03-19T00:00:00"/>
    <x v="1"/>
    <x v="10"/>
    <s v="Q2"/>
    <n v="2"/>
    <x v="2"/>
    <x v="5"/>
    <x v="2"/>
    <x v="6"/>
    <s v="Laptops take"/>
    <x v="752"/>
    <n v="5"/>
    <n v="0.4"/>
    <n v="445.5"/>
    <n v="326.13"/>
    <s v="profit"/>
  </r>
  <r>
    <s v="dd5edbb6-22f9-419e-b717-0fa6753731e2"/>
    <d v="2022-12-26T00:00:00"/>
    <d v="2023-01-01T00:00:00"/>
    <x v="1"/>
    <x v="0"/>
    <s v="Q1"/>
    <n v="6"/>
    <x v="1"/>
    <x v="5"/>
    <x v="0"/>
    <x v="3"/>
    <s v="Bookcases everybody"/>
    <x v="753"/>
    <n v="7"/>
    <n v="0.4"/>
    <n v="56.32"/>
    <n v="73.460000000000008"/>
    <s v="profit"/>
  </r>
  <r>
    <s v="4fee3f9c-a708-4a8c-a0e7-7227468195d4"/>
    <d v="2023-03-10T00:00:00"/>
    <d v="2023-03-10T00:00:00"/>
    <x v="3"/>
    <x v="10"/>
    <s v="Q2"/>
    <n v="0"/>
    <x v="0"/>
    <x v="6"/>
    <x v="2"/>
    <x v="2"/>
    <s v="Accessories any"/>
    <x v="754"/>
    <n v="10"/>
    <n v="0.12"/>
    <n v="384.99"/>
    <n v="67.899999999999977"/>
    <s v="profit"/>
  </r>
  <r>
    <s v="28c11797-0cff-4543-a9a8-5686def340c9"/>
    <d v="2023-01-17T00:00:00"/>
    <d v="2023-01-24T00:00:00"/>
    <x v="1"/>
    <x v="0"/>
    <s v="Q1"/>
    <n v="7"/>
    <x v="0"/>
    <x v="3"/>
    <x v="0"/>
    <x v="0"/>
    <s v="Tables letter"/>
    <x v="755"/>
    <n v="5"/>
    <n v="0.22"/>
    <n v="-11.04"/>
    <n v="48.44"/>
    <s v="loss"/>
  </r>
  <r>
    <s v="ea9a732b-3967-4673-a44a-3757105dbd01"/>
    <d v="2024-01-04T00:00:00"/>
    <d v="2024-01-05T00:00:00"/>
    <x v="1"/>
    <x v="0"/>
    <s v="Q1"/>
    <n v="1"/>
    <x v="1"/>
    <x v="3"/>
    <x v="1"/>
    <x v="4"/>
    <s v="Pens various"/>
    <x v="756"/>
    <n v="8"/>
    <n v="0.01"/>
    <n v="336.46"/>
    <n v="16.910000000000025"/>
    <s v="profit"/>
  </r>
  <r>
    <s v="4fd9d75d-500f-454d-9997-a5c867152c72"/>
    <d v="2023-11-28T00:00:00"/>
    <d v="2023-12-05T00:00:00"/>
    <x v="0"/>
    <x v="9"/>
    <s v="Q4"/>
    <n v="7"/>
    <x v="3"/>
    <x v="3"/>
    <x v="0"/>
    <x v="7"/>
    <s v="Chairs speak"/>
    <x v="757"/>
    <n v="7"/>
    <n v="0.14000000000000001"/>
    <n v="333.44"/>
    <n v="112.37"/>
    <s v="profit"/>
  </r>
  <r>
    <s v="e5f8d956-025c-45b6-9d0a-0644f87bda95"/>
    <d v="2023-03-27T00:00:00"/>
    <d v="2023-03-30T00:00:00"/>
    <x v="1"/>
    <x v="10"/>
    <s v="Q2"/>
    <n v="3"/>
    <x v="2"/>
    <x v="7"/>
    <x v="1"/>
    <x v="4"/>
    <s v="Pens heavy"/>
    <x v="758"/>
    <n v="10"/>
    <n v="0.13"/>
    <n v="137.74"/>
    <n v="71.179999999999978"/>
    <s v="profit"/>
  </r>
  <r>
    <s v="dd70da87-72d1-4bd8-ab6b-7fea5df3cfd6"/>
    <d v="2022-12-27T00:00:00"/>
    <d v="2023-01-04T00:00:00"/>
    <x v="1"/>
    <x v="0"/>
    <s v="Q1"/>
    <n v="8"/>
    <x v="3"/>
    <x v="0"/>
    <x v="2"/>
    <x v="2"/>
    <s v="Accessories manager"/>
    <x v="759"/>
    <n v="5"/>
    <n v="0.37"/>
    <n v="313.89999999999998"/>
    <n v="245.42000000000007"/>
    <s v="profit"/>
  </r>
  <r>
    <s v="1da84474-8a3b-4b88-8e46-2888a1a951a7"/>
    <d v="2024-01-08T00:00:00"/>
    <d v="2024-01-14T00:00:00"/>
    <x v="3"/>
    <x v="0"/>
    <s v="Q1"/>
    <n v="6"/>
    <x v="2"/>
    <x v="1"/>
    <x v="0"/>
    <x v="3"/>
    <s v="Bookcases should"/>
    <x v="760"/>
    <n v="4"/>
    <n v="0.28000000000000003"/>
    <n v="371.02"/>
    <n v="206.42000000000007"/>
    <s v="profit"/>
  </r>
  <r>
    <s v="95115ed8-4fc4-4668-8679-fd5867debd04"/>
    <d v="2024-09-20T00:00:00"/>
    <d v="2024-09-22T00:00:00"/>
    <x v="0"/>
    <x v="11"/>
    <s v="Q4"/>
    <n v="2"/>
    <x v="2"/>
    <x v="6"/>
    <x v="1"/>
    <x v="4"/>
    <s v="Pens beautiful"/>
    <x v="761"/>
    <n v="9"/>
    <n v="0.37"/>
    <n v="564.28"/>
    <n v="369.43000000000006"/>
    <s v="profit"/>
  </r>
  <r>
    <s v="5beb9818-d4bd-4a64-9215-d12957d78fd9"/>
    <d v="2023-08-22T00:00:00"/>
    <d v="2023-08-29T00:00:00"/>
    <x v="0"/>
    <x v="2"/>
    <s v="Q3"/>
    <n v="7"/>
    <x v="0"/>
    <x v="3"/>
    <x v="1"/>
    <x v="1"/>
    <s v="Paper hot"/>
    <x v="762"/>
    <n v="10"/>
    <n v="0.47"/>
    <n v="35.74"/>
    <n v="97.66"/>
    <s v="profit"/>
  </r>
  <r>
    <s v="4f23b63f-1a29-4886-b97b-8a9baa8fec59"/>
    <d v="2023-05-08T00:00:00"/>
    <d v="2023-05-11T00:00:00"/>
    <x v="1"/>
    <x v="8"/>
    <s v="Q2"/>
    <n v="3"/>
    <x v="1"/>
    <x v="5"/>
    <x v="0"/>
    <x v="7"/>
    <s v="Chairs prevent"/>
    <x v="763"/>
    <n v="5"/>
    <n v="-0.25"/>
    <n v="73.72"/>
    <n v="59.240000000000009"/>
    <s v="profit"/>
  </r>
  <r>
    <s v="24cc6eac-a139-4339-81c1-5dcb80b5714a"/>
    <d v="2023-02-20T00:00:00"/>
    <d v="2023-02-21T00:00:00"/>
    <x v="1"/>
    <x v="6"/>
    <s v="Q1"/>
    <n v="1"/>
    <x v="2"/>
    <x v="1"/>
    <x v="1"/>
    <x v="4"/>
    <s v="Pens foreign"/>
    <x v="764"/>
    <n v="5"/>
    <n v="0.36"/>
    <n v="583.5"/>
    <n v="366.03"/>
    <s v="profit"/>
  </r>
  <r>
    <s v="31343591-76b3-41b7-9eef-007e6f7d2119"/>
    <d v="2024-10-20T00:00:00"/>
    <d v="2024-10-21T00:00:00"/>
    <x v="1"/>
    <x v="4"/>
    <s v="Q4"/>
    <n v="1"/>
    <x v="1"/>
    <x v="7"/>
    <x v="0"/>
    <x v="3"/>
    <s v="Bookcases idea"/>
    <x v="765"/>
    <n v="9"/>
    <n v="0.13"/>
    <n v="227.61"/>
    <n v="67.990000000000009"/>
    <s v="profit"/>
  </r>
  <r>
    <s v="112012fd-0987-4e0d-867e-4b19fc852959"/>
    <d v="2023-04-14T00:00:00"/>
    <d v="2023-04-23T00:00:00"/>
    <x v="0"/>
    <x v="1"/>
    <s v="Q2"/>
    <n v="9"/>
    <x v="0"/>
    <x v="2"/>
    <x v="0"/>
    <x v="7"/>
    <s v="Chairs science"/>
    <x v="766"/>
    <n v="9"/>
    <n v="0.45"/>
    <n v="85.16"/>
    <n v="156.17000000000002"/>
    <s v="profit"/>
  </r>
  <r>
    <s v="035b2821-68cc-4c45-a645-c74512716f8e"/>
    <d v="2023-04-28T00:00:00"/>
    <d v="2023-05-04T00:00:00"/>
    <x v="1"/>
    <x v="8"/>
    <s v="Q2"/>
    <n v="6"/>
    <x v="2"/>
    <x v="7"/>
    <x v="0"/>
    <x v="7"/>
    <s v="Chairs cut"/>
    <x v="767"/>
    <n v="7"/>
    <n v="0.19"/>
    <n v="528.42999999999995"/>
    <n v="161.87"/>
    <s v="profit"/>
  </r>
  <r>
    <s v="5e686904-c893-4a45-ae82-d0f2ccdbbd55"/>
    <d v="2023-01-16T00:00:00"/>
    <d v="2023-01-25T00:00:00"/>
    <x v="1"/>
    <x v="0"/>
    <s v="Q1"/>
    <n v="9"/>
    <x v="3"/>
    <x v="2"/>
    <x v="1"/>
    <x v="8"/>
    <s v="Binders leader"/>
    <x v="768"/>
    <n v="8"/>
    <n v="0.14000000000000001"/>
    <n v="517.42999999999995"/>
    <n v="127.74000000000001"/>
    <s v="profit"/>
  </r>
  <r>
    <s v="517154fb-9d6e-47ec-9413-c63b513228da"/>
    <d v="2023-09-11T00:00:00"/>
    <d v="2023-09-17T00:00:00"/>
    <x v="1"/>
    <x v="11"/>
    <s v="Q4"/>
    <n v="6"/>
    <x v="2"/>
    <x v="7"/>
    <x v="0"/>
    <x v="0"/>
    <s v="Tables join"/>
    <x v="769"/>
    <n v="4"/>
    <n v="0.32"/>
    <n v="340.62"/>
    <n v="195.21000000000004"/>
    <s v="profit"/>
  </r>
  <r>
    <s v="c6006c69-5fb2-4112-8c7c-b4866387c570"/>
    <d v="2024-02-04T00:00:00"/>
    <d v="2024-02-08T00:00:00"/>
    <x v="1"/>
    <x v="6"/>
    <s v="Q1"/>
    <n v="4"/>
    <x v="2"/>
    <x v="3"/>
    <x v="2"/>
    <x v="5"/>
    <s v="Phones consumer"/>
    <x v="770"/>
    <n v="7"/>
    <n v="0.46"/>
    <n v="243.55"/>
    <n v="267.93"/>
    <s v="profit"/>
  </r>
  <r>
    <s v="4343ea67-d3d6-4523-8e8e-78c40b044a37"/>
    <d v="2023-05-28T00:00:00"/>
    <d v="2023-06-04T00:00:00"/>
    <x v="0"/>
    <x v="3"/>
    <s v="Q3"/>
    <n v="7"/>
    <x v="0"/>
    <x v="2"/>
    <x v="1"/>
    <x v="4"/>
    <s v="Pens street"/>
    <x v="771"/>
    <n v="8"/>
    <n v="0.27"/>
    <n v="506.11"/>
    <n v="209.05999999999995"/>
    <s v="profit"/>
  </r>
  <r>
    <s v="9ab05252-c829-4728-a30d-71f1daccb402"/>
    <m/>
    <d v="2023-07-03T00:00:00"/>
    <x v="1"/>
    <x v="7"/>
    <s v="Q3"/>
    <n v="45110"/>
    <x v="4"/>
    <x v="5"/>
    <x v="0"/>
    <x v="0"/>
    <s v="Tables sister"/>
    <x v="59"/>
    <n v="4"/>
    <n v="0.13"/>
    <n v="429.29"/>
    <e v="#VALUE!"/>
    <s v="profit"/>
  </r>
  <r>
    <s v="79f7154d-a041-41a5-8c1b-c3c9a430c422"/>
    <d v="2024-08-13T00:00:00"/>
    <d v="2024-08-19T00:00:00"/>
    <x v="2"/>
    <x v="2"/>
    <s v="Q3"/>
    <n v="6"/>
    <x v="0"/>
    <x v="6"/>
    <x v="2"/>
    <x v="5"/>
    <s v="Phones strategy"/>
    <x v="772"/>
    <n v="4"/>
    <n v="0.14000000000000001"/>
    <n v="727.84"/>
    <n v="141.45999999999992"/>
    <s v="profit"/>
  </r>
  <r>
    <s v="0074aa30-2274-408e-b4d3-12d7feaa0408"/>
    <d v="2023-04-16T00:00:00"/>
    <d v="2023-04-23T00:00:00"/>
    <x v="0"/>
    <x v="1"/>
    <s v="Q2"/>
    <n v="7"/>
    <x v="2"/>
    <x v="5"/>
    <x v="2"/>
    <x v="5"/>
    <s v="Phones quite"/>
    <x v="773"/>
    <n v="2"/>
    <n v="0.5"/>
    <n v="19.54"/>
    <n v="109.81"/>
    <s v="profit"/>
  </r>
  <r>
    <s v="840283fa-c815-4070-b10d-ca8721eb190b"/>
    <d v="2024-05-22T00:00:00"/>
    <d v="2024-05-28T00:00:00"/>
    <x v="1"/>
    <x v="8"/>
    <s v="Q2"/>
    <n v="6"/>
    <x v="2"/>
    <x v="0"/>
    <x v="2"/>
    <x v="2"/>
    <s v="Accessories bed"/>
    <x v="774"/>
    <n v="10"/>
    <n v="0.39"/>
    <n v="342.62"/>
    <n v="239.84000000000003"/>
    <s v="profit"/>
  </r>
  <r>
    <s v="2a2f0430-96f1-4d06-9cae-f7470cef974c"/>
    <d v="2023-12-19T00:00:00"/>
    <d v="2023-12-21T00:00:00"/>
    <x v="0"/>
    <x v="9"/>
    <s v="Q4"/>
    <n v="2"/>
    <x v="3"/>
    <x v="4"/>
    <x v="2"/>
    <x v="2"/>
    <s v="Accessories training"/>
    <x v="775"/>
    <n v="2"/>
    <n v="0.32"/>
    <n v="188.43"/>
    <n v="111.20999999999998"/>
    <s v="profit"/>
  </r>
  <r>
    <s v="3767eadb-925c-43d8-8cbb-b32bfb82e80b"/>
    <d v="2024-05-21T00:00:00"/>
    <d v="2024-05-30T00:00:00"/>
    <x v="1"/>
    <x v="8"/>
    <s v="Q2"/>
    <n v="9"/>
    <x v="1"/>
    <x v="0"/>
    <x v="2"/>
    <x v="2"/>
    <s v="Accessories understand"/>
    <x v="776"/>
    <n v="2"/>
    <n v="0.06"/>
    <n v="834.75"/>
    <n v="98.529999999999973"/>
    <s v="profit"/>
  </r>
  <r>
    <s v="c0bf24d3-b220-4b01-9580-f17d084ce39f"/>
    <d v="2024-10-07T00:00:00"/>
    <d v="2024-10-12T00:00:00"/>
    <x v="0"/>
    <x v="4"/>
    <s v="Q4"/>
    <n v="5"/>
    <x v="0"/>
    <x v="5"/>
    <x v="0"/>
    <x v="7"/>
    <s v="Chairs military"/>
    <x v="777"/>
    <n v="3"/>
    <n v="0.03"/>
    <n v="249.64"/>
    <n v="28.520000000000039"/>
    <s v="profit"/>
  </r>
  <r>
    <s v="21a7b9f9-b741-434c-a3fc-3ebb06e40d9c"/>
    <d v="2024-02-04T00:00:00"/>
    <d v="2024-02-06T00:00:00"/>
    <x v="0"/>
    <x v="6"/>
    <s v="Q1"/>
    <n v="2"/>
    <x v="3"/>
    <x v="3"/>
    <x v="0"/>
    <x v="0"/>
    <s v="Tables situation"/>
    <x v="778"/>
    <n v="2"/>
    <n v="0.08"/>
    <n v="577.66"/>
    <n v="89.32000000000005"/>
    <s v="profit"/>
  </r>
  <r>
    <s v="2bfc6aea-4329-43ff-bb21-74fea0ed1c24"/>
    <d v="2023-07-20T00:00:00"/>
    <d v="2023-07-29T00:00:00"/>
    <x v="0"/>
    <x v="7"/>
    <s v="Q3"/>
    <n v="9"/>
    <x v="0"/>
    <x v="3"/>
    <x v="1"/>
    <x v="1"/>
    <s v="Paper be"/>
    <x v="779"/>
    <n v="1"/>
    <n v="0.39"/>
    <n v="349.25"/>
    <n v="249.42999999999995"/>
    <s v="profit"/>
  </r>
  <r>
    <s v="075c2103-effc-4829-b96d-8c7dd9e47e88"/>
    <d v="2023-04-12T00:00:00"/>
    <d v="2023-04-20T00:00:00"/>
    <x v="1"/>
    <x v="1"/>
    <s v="Q2"/>
    <n v="8"/>
    <x v="0"/>
    <x v="7"/>
    <x v="1"/>
    <x v="4"/>
    <s v="Pens us"/>
    <x v="780"/>
    <n v="10"/>
    <n v="0.35"/>
    <n v="-10.5"/>
    <n v="57.82"/>
    <s v="loss"/>
  </r>
  <r>
    <s v="c2c472f6-c0e9-43b5-9d2c-bc1fa868f589"/>
    <d v="2023-08-20T00:00:00"/>
    <d v="2023-08-20T00:00:00"/>
    <x v="1"/>
    <x v="2"/>
    <s v="Q3"/>
    <n v="0"/>
    <x v="3"/>
    <x v="3"/>
    <x v="2"/>
    <x v="5"/>
    <s v="Phones southern"/>
    <x v="781"/>
    <n v="6"/>
    <n v="0.23"/>
    <n v="522.33000000000004"/>
    <n v="177.31999999999994"/>
    <s v="profit"/>
  </r>
  <r>
    <s v="ff878912-595b-4dd4-965c-9ecee1dbfe18"/>
    <d v="2024-03-08T00:00:00"/>
    <d v="2024-03-10T00:00:00"/>
    <x v="1"/>
    <x v="10"/>
    <s v="Q2"/>
    <n v="2"/>
    <x v="3"/>
    <x v="5"/>
    <x v="0"/>
    <x v="3"/>
    <s v="Bookcases team"/>
    <x v="782"/>
    <n v="3"/>
    <n v="0.22"/>
    <n v="701.04"/>
    <n v="222.24"/>
    <s v="profit"/>
  </r>
  <r>
    <s v="9fa97b13-8d41-4ed1-a70b-c3c3b3f2114a"/>
    <d v="2023-08-21T00:00:00"/>
    <d v="2023-08-21T00:00:00"/>
    <x v="0"/>
    <x v="2"/>
    <s v="Q3"/>
    <n v="0"/>
    <x v="2"/>
    <x v="7"/>
    <x v="1"/>
    <x v="8"/>
    <s v="Binders point"/>
    <x v="783"/>
    <n v="5"/>
    <n v="0.3"/>
    <n v="573.91999999999996"/>
    <n v="301.70000000000005"/>
    <s v="profit"/>
  </r>
  <r>
    <s v="85043ea5-0ef9-444d-b683-dfe73f80090a"/>
    <d v="2022-12-06T00:00:00"/>
    <d v="2022-12-07T00:00:00"/>
    <x v="1"/>
    <x v="9"/>
    <s v="Q4"/>
    <n v="1"/>
    <x v="3"/>
    <x v="0"/>
    <x v="0"/>
    <x v="7"/>
    <s v="Chairs home"/>
    <x v="784"/>
    <n v="9"/>
    <n v="0.26"/>
    <n v="169.6"/>
    <n v="123.85999999999999"/>
    <s v="profit"/>
  </r>
  <r>
    <s v="ec63e0e6-dfad-4699-9a41-6f4b7a3c871a"/>
    <d v="2023-07-28T00:00:00"/>
    <d v="2023-07-31T00:00:00"/>
    <x v="3"/>
    <x v="7"/>
    <s v="Q3"/>
    <n v="3"/>
    <x v="3"/>
    <x v="0"/>
    <x v="1"/>
    <x v="8"/>
    <s v="Binders or"/>
    <x v="785"/>
    <n v="4"/>
    <n v="0.15"/>
    <n v="311.70999999999998"/>
    <n v="80.980000000000018"/>
    <s v="profit"/>
  </r>
  <r>
    <s v="e517894b-8996-46be-9dfa-b2689211efed"/>
    <d v="2024-09-12T00:00:00"/>
    <d v="2024-09-19T00:00:00"/>
    <x v="1"/>
    <x v="11"/>
    <s v="Q4"/>
    <n v="7"/>
    <x v="1"/>
    <x v="6"/>
    <x v="1"/>
    <x v="4"/>
    <s v="Pens middle"/>
    <x v="786"/>
    <n v="6"/>
    <n v="0.2"/>
    <n v="403.49"/>
    <n v="126.55999999999995"/>
    <s v="profit"/>
  </r>
  <r>
    <s v="bdaf9288-5cc6-40ad-aae9-51872f36887c"/>
    <d v="2024-05-24T00:00:00"/>
    <d v="2024-05-30T00:00:00"/>
    <x v="0"/>
    <x v="8"/>
    <s v="Q2"/>
    <n v="6"/>
    <x v="3"/>
    <x v="4"/>
    <x v="0"/>
    <x v="7"/>
    <s v="Chairs Republican"/>
    <x v="787"/>
    <n v="6"/>
    <n v="0.05"/>
    <n v="635.17999999999995"/>
    <n v="68.590000000000032"/>
    <s v="profit"/>
  </r>
  <r>
    <s v="402e6c6e-08df-4089-be54-4d6ca6be2686"/>
    <d v="2023-10-27T00:00:00"/>
    <d v="2023-10-30T00:00:00"/>
    <x v="0"/>
    <x v="4"/>
    <s v="Q4"/>
    <n v="3"/>
    <x v="3"/>
    <x v="5"/>
    <x v="0"/>
    <x v="7"/>
    <s v="Chairs science"/>
    <x v="788"/>
    <n v="5"/>
    <n v="0.25"/>
    <n v="652.72"/>
    <n v="237.92999999999995"/>
    <s v="profit"/>
  </r>
  <r>
    <s v="3b0c7c5b-76eb-48ba-a754-be8e91213381"/>
    <d v="2023-12-05T00:00:00"/>
    <d v="2023-12-10T00:00:00"/>
    <x v="1"/>
    <x v="9"/>
    <s v="Q4"/>
    <n v="5"/>
    <x v="3"/>
    <x v="1"/>
    <x v="1"/>
    <x v="1"/>
    <s v="Paper as"/>
    <x v="789"/>
    <n v="9"/>
    <n v="0.08"/>
    <n v="652.52"/>
    <n v="94.409999999999968"/>
    <s v="profit"/>
  </r>
  <r>
    <s v="db708a2e-14c2-41fa-b740-5c550f6f5a24"/>
    <d v="2024-04-19T00:00:00"/>
    <d v="2024-04-23T00:00:00"/>
    <x v="1"/>
    <x v="1"/>
    <s v="Q2"/>
    <n v="4"/>
    <x v="3"/>
    <x v="2"/>
    <x v="1"/>
    <x v="8"/>
    <s v="Binders enjoy"/>
    <x v="790"/>
    <n v="2"/>
    <n v="0.26"/>
    <n v="401.38"/>
    <n v="161.10000000000002"/>
    <s v="profit"/>
  </r>
  <r>
    <s v="1086dbab-dd50-4f9e-a15b-4ac8615b461d"/>
    <d v="2023-11-22T00:00:00"/>
    <d v="2023-11-28T00:00:00"/>
    <x v="0"/>
    <x v="5"/>
    <s v="Q4"/>
    <n v="6"/>
    <x v="3"/>
    <x v="2"/>
    <x v="0"/>
    <x v="7"/>
    <s v="Chairs Mrs"/>
    <x v="791"/>
    <n v="3"/>
    <n v="0.01"/>
    <n v="692.91"/>
    <n v="28.759999999999991"/>
    <s v="profit"/>
  </r>
  <r>
    <s v="e99b6066-ad30-450d-b2dc-cba1e9314eb0"/>
    <d v="2024-11-07T00:00:00"/>
    <d v="2024-11-07T00:00:00"/>
    <x v="1"/>
    <x v="5"/>
    <s v="Q4"/>
    <n v="0"/>
    <x v="1"/>
    <x v="0"/>
    <x v="1"/>
    <x v="4"/>
    <s v="Pens cover"/>
    <x v="792"/>
    <n v="8"/>
    <n v="0.14000000000000001"/>
    <n v="-8.4700000000000006"/>
    <n v="38.17"/>
    <s v="loss"/>
  </r>
  <r>
    <s v="a59addfb-d30b-4543-bee0-cf685bb50d07"/>
    <d v="2022-12-27T00:00:00"/>
    <d v="2022-12-29T00:00:00"/>
    <x v="0"/>
    <x v="9"/>
    <s v="Q4"/>
    <n v="2"/>
    <x v="1"/>
    <x v="6"/>
    <x v="0"/>
    <x v="7"/>
    <s v="Chairs try"/>
    <x v="793"/>
    <n v="10"/>
    <n v="0.18"/>
    <n v="596.42999999999995"/>
    <n v="174.55000000000007"/>
    <s v="profit"/>
  </r>
  <r>
    <s v="0a199eea-f888-4855-83d3-88d8a6d1ec06"/>
    <d v="2023-04-18T00:00:00"/>
    <d v="2023-04-18T00:00:00"/>
    <x v="3"/>
    <x v="1"/>
    <s v="Q2"/>
    <n v="0"/>
    <x v="1"/>
    <x v="1"/>
    <x v="0"/>
    <x v="3"/>
    <s v="Bookcases thing"/>
    <x v="794"/>
    <n v="5"/>
    <n v="0"/>
    <n v="390.01"/>
    <n v="10.829999999999984"/>
    <s v="profit"/>
  </r>
  <r>
    <s v="450e1727-7b3d-46e9-ac90-1ae0d03b864f"/>
    <d v="2023-07-25T00:00:00"/>
    <d v="2023-07-26T00:00:00"/>
    <x v="1"/>
    <x v="7"/>
    <s v="Q3"/>
    <n v="1"/>
    <x v="1"/>
    <x v="2"/>
    <x v="1"/>
    <x v="8"/>
    <s v="Binders marriage"/>
    <x v="795"/>
    <n v="7"/>
    <n v="0.12"/>
    <n v="817.51"/>
    <n v="133.38"/>
    <s v="profit"/>
  </r>
  <r>
    <s v="b23787ec-e095-4e7b-a4df-bd90f8008390"/>
    <d v="2024-01-09T00:00:00"/>
    <d v="2024-01-13T00:00:00"/>
    <x v="1"/>
    <x v="0"/>
    <s v="Q1"/>
    <n v="4"/>
    <x v="1"/>
    <x v="2"/>
    <x v="1"/>
    <x v="1"/>
    <s v="Paper push"/>
    <x v="796"/>
    <n v="6"/>
    <n v="0.3"/>
    <n v="623.70000000000005"/>
    <n v="325.01"/>
    <s v="profit"/>
  </r>
  <r>
    <s v="59f261fb-e5d0-4bbd-ad28-153ac622dbd9"/>
    <m/>
    <d v="2023-04-02T00:00:00"/>
    <x v="0"/>
    <x v="1"/>
    <s v="Q2"/>
    <n v="45018"/>
    <x v="4"/>
    <x v="6"/>
    <x v="2"/>
    <x v="6"/>
    <s v="Laptops serve"/>
    <x v="59"/>
    <n v="3"/>
    <n v="0.04"/>
    <n v="636.17999999999995"/>
    <e v="#VALUE!"/>
    <s v="profit"/>
  </r>
  <r>
    <s v="c0ff989a-aca7-4b79-82fe-804d91ecea5b"/>
    <d v="2024-09-09T00:00:00"/>
    <d v="2024-09-17T00:00:00"/>
    <x v="2"/>
    <x v="11"/>
    <s v="Q4"/>
    <n v="8"/>
    <x v="3"/>
    <x v="5"/>
    <x v="2"/>
    <x v="5"/>
    <s v="Phones car"/>
    <x v="797"/>
    <n v="5"/>
    <n v="0.2"/>
    <n v="120.51"/>
    <n v="67.749999999999986"/>
    <s v="profit"/>
  </r>
  <r>
    <s v="d14fc6ab-667d-45bc-a82b-b7409da6c7fa"/>
    <d v="2023-10-15T00:00:00"/>
    <d v="2023-10-18T00:00:00"/>
    <x v="0"/>
    <x v="4"/>
    <s v="Q4"/>
    <n v="3"/>
    <x v="2"/>
    <x v="4"/>
    <x v="1"/>
    <x v="1"/>
    <s v="Paper reduce"/>
    <x v="798"/>
    <n v="5"/>
    <n v="0.04"/>
    <n v="79.650000000000006"/>
    <n v="35.429999999999993"/>
    <s v="profit"/>
  </r>
  <r>
    <s v="0ec47798-6dfc-4be2-95bc-0931ef9e510d"/>
    <d v="2023-06-13T00:00:00"/>
    <d v="2023-06-16T00:00:00"/>
    <x v="1"/>
    <x v="3"/>
    <s v="Q3"/>
    <n v="3"/>
    <x v="0"/>
    <x v="3"/>
    <x v="2"/>
    <x v="2"/>
    <s v="Accessories agreement"/>
    <x v="799"/>
    <n v="6"/>
    <n v="0.04"/>
    <n v="639.62"/>
    <n v="51.309999999999945"/>
    <s v="profit"/>
  </r>
  <r>
    <s v="2f083cdf-8a57-4678-9a4c-98918b177465"/>
    <d v="2024-04-04T00:00:00"/>
    <d v="2024-04-12T00:00:00"/>
    <x v="1"/>
    <x v="1"/>
    <s v="Q2"/>
    <n v="8"/>
    <x v="3"/>
    <x v="7"/>
    <x v="0"/>
    <x v="0"/>
    <s v="Tables option"/>
    <x v="800"/>
    <n v="2"/>
    <n v="0.1"/>
    <n v="236.23"/>
    <n v="45.78"/>
    <s v="profit"/>
  </r>
  <r>
    <s v="ceede140-7509-4f8c-a137-8fdc29a47865"/>
    <d v="2023-11-28T00:00:00"/>
    <d v="2023-12-01T00:00:00"/>
    <x v="0"/>
    <x v="9"/>
    <s v="Q4"/>
    <n v="3"/>
    <x v="0"/>
    <x v="4"/>
    <x v="2"/>
    <x v="5"/>
    <s v="Phones lose"/>
    <x v="801"/>
    <n v="3"/>
    <n v="0.44"/>
    <n v="37.81"/>
    <n v="118.71000000000001"/>
    <s v="profit"/>
  </r>
  <r>
    <s v="fe0116a1-4a8f-4704-b6a0-ecb676b21704"/>
    <d v="2024-03-31T00:00:00"/>
    <d v="2024-04-08T00:00:00"/>
    <x v="1"/>
    <x v="1"/>
    <s v="Q2"/>
    <n v="8"/>
    <x v="3"/>
    <x v="4"/>
    <x v="0"/>
    <x v="3"/>
    <s v="Bookcases actually"/>
    <x v="802"/>
    <n v="8"/>
    <n v="0.36"/>
    <n v="9.15"/>
    <n v="71.64"/>
    <s v="profit"/>
  </r>
  <r>
    <s v="f3f78d36-f16c-471e-a358-800074ab076c"/>
    <d v="2023-01-03T00:00:00"/>
    <d v="2023-01-06T00:00:00"/>
    <x v="0"/>
    <x v="0"/>
    <s v="Q1"/>
    <n v="3"/>
    <x v="2"/>
    <x v="3"/>
    <x v="1"/>
    <x v="4"/>
    <s v="Pens activity"/>
    <x v="803"/>
    <n v="5"/>
    <n v="0.12"/>
    <n v="702.38"/>
    <n v="141.85000000000002"/>
    <s v="profit"/>
  </r>
  <r>
    <s v="0d3e0ad1-af58-408a-89a4-c4ff0fc389d2"/>
    <d v="2024-04-28T00:00:00"/>
    <d v="2024-05-07T00:00:00"/>
    <x v="1"/>
    <x v="8"/>
    <s v="Q2"/>
    <n v="9"/>
    <x v="1"/>
    <x v="4"/>
    <x v="0"/>
    <x v="0"/>
    <s v="Tables democratic"/>
    <x v="804"/>
    <n v="6"/>
    <n v="0.14000000000000001"/>
    <n v="231.62"/>
    <n v="53.350000000000023"/>
    <s v="profit"/>
  </r>
  <r>
    <s v="e6d0633c-d09d-40bd-bc01-6d20d0d5a156"/>
    <d v="2023-05-24T00:00:00"/>
    <d v="2023-05-31T00:00:00"/>
    <x v="0"/>
    <x v="8"/>
    <s v="Q2"/>
    <n v="7"/>
    <x v="3"/>
    <x v="2"/>
    <x v="2"/>
    <x v="6"/>
    <s v="Laptops inside"/>
    <x v="805"/>
    <n v="4"/>
    <n v="0.39"/>
    <n v="555.88"/>
    <n v="424.81000000000006"/>
    <s v="profit"/>
  </r>
  <r>
    <s v="24f60312-6f89-457e-88ae-8097075ccbfc"/>
    <d v="2024-11-26T00:00:00"/>
    <d v="2024-11-26T00:00:00"/>
    <x v="1"/>
    <x v="5"/>
    <s v="Q4"/>
    <n v="0"/>
    <x v="1"/>
    <x v="0"/>
    <x v="1"/>
    <x v="4"/>
    <s v="Pens agency"/>
    <x v="806"/>
    <n v="3"/>
    <n v="7.0000000000000007E-2"/>
    <n v="579.87"/>
    <n v="66.759999999999991"/>
    <s v="profit"/>
  </r>
  <r>
    <s v="ae1d9cb9-6f3b-4c9f-b815-a091bc4b378a"/>
    <d v="2024-07-10T00:00:00"/>
    <d v="2024-07-13T00:00:00"/>
    <x v="0"/>
    <x v="7"/>
    <s v="Q3"/>
    <n v="3"/>
    <x v="3"/>
    <x v="6"/>
    <x v="1"/>
    <x v="8"/>
    <s v="Binders already"/>
    <x v="807"/>
    <n v="7"/>
    <n v="0.25"/>
    <n v="284.25"/>
    <n v="129.32999999999998"/>
    <s v="profit"/>
  </r>
  <r>
    <s v="6e54e83d-9dd6-4d67-8535-6f667b1df098"/>
    <d v="2023-07-07T00:00:00"/>
    <d v="2023-07-14T00:00:00"/>
    <x v="0"/>
    <x v="7"/>
    <s v="Q3"/>
    <n v="7"/>
    <x v="3"/>
    <x v="0"/>
    <x v="0"/>
    <x v="7"/>
    <s v="Chairs rise"/>
    <x v="808"/>
    <n v="9"/>
    <n v="0.04"/>
    <n v="211.23"/>
    <n v="31.950000000000017"/>
    <s v="profit"/>
  </r>
  <r>
    <s v="0dfda96c-7dc5-400e-b30a-59b2cb719ac9"/>
    <d v="2023-07-20T00:00:00"/>
    <d v="2023-07-27T00:00:00"/>
    <x v="1"/>
    <x v="7"/>
    <s v="Q3"/>
    <n v="7"/>
    <x v="2"/>
    <x v="1"/>
    <x v="2"/>
    <x v="2"/>
    <s v="Accessories left"/>
    <x v="809"/>
    <n v="10"/>
    <n v="0.33"/>
    <n v="595.65"/>
    <n v="313.26"/>
    <s v="profit"/>
  </r>
  <r>
    <s v="82fe161e-11fd-4ea7-bcd6-8f2ab14484d7"/>
    <d v="2024-03-12T00:00:00"/>
    <d v="2024-03-21T00:00:00"/>
    <x v="1"/>
    <x v="10"/>
    <s v="Q2"/>
    <n v="9"/>
    <x v="3"/>
    <x v="4"/>
    <x v="2"/>
    <x v="6"/>
    <s v="Laptops lose"/>
    <x v="810"/>
    <n v="9"/>
    <n v="0.38"/>
    <n v="154.22"/>
    <n v="122.11999999999998"/>
    <s v="profit"/>
  </r>
  <r>
    <s v="82958f60-880f-4d9d-89b8-c3fbfa80404b"/>
    <d v="2024-01-02T00:00:00"/>
    <d v="2024-01-07T00:00:00"/>
    <x v="0"/>
    <x v="0"/>
    <s v="Q1"/>
    <n v="5"/>
    <x v="0"/>
    <x v="2"/>
    <x v="2"/>
    <x v="2"/>
    <s v="Accessories board"/>
    <x v="811"/>
    <n v="2"/>
    <n v="0.48"/>
    <n v="75.77"/>
    <n v="121.13000000000001"/>
    <s v="profit"/>
  </r>
  <r>
    <s v="8ab4288a-17a9-46b6-a318-be2e690b88f4"/>
    <d v="2024-06-19T00:00:00"/>
    <d v="2024-06-27T00:00:00"/>
    <x v="0"/>
    <x v="3"/>
    <s v="Q3"/>
    <n v="8"/>
    <x v="1"/>
    <x v="7"/>
    <x v="1"/>
    <x v="8"/>
    <s v="Binders low"/>
    <x v="812"/>
    <n v="9"/>
    <n v="0.39"/>
    <n v="476.55"/>
    <n v="351.22999999999996"/>
    <s v="profit"/>
  </r>
  <r>
    <s v="cfc88c84-8c3a-4eb1-a04a-714ea307fad0"/>
    <d v="2023-07-20T00:00:00"/>
    <d v="2023-07-25T00:00:00"/>
    <x v="0"/>
    <x v="7"/>
    <s v="Q3"/>
    <n v="5"/>
    <x v="2"/>
    <x v="3"/>
    <x v="0"/>
    <x v="7"/>
    <s v="Chairs month"/>
    <x v="813"/>
    <n v="8"/>
    <n v="0.03"/>
    <n v="903.05"/>
    <n v="54.6400000000001"/>
    <s v="profit"/>
  </r>
  <r>
    <s v="9c294f48-3078-4146-9f2f-4fd8acd53ea1"/>
    <d v="2023-10-18T00:00:00"/>
    <d v="2023-10-19T00:00:00"/>
    <x v="1"/>
    <x v="4"/>
    <s v="Q4"/>
    <n v="1"/>
    <x v="0"/>
    <x v="3"/>
    <x v="2"/>
    <x v="2"/>
    <s v="Accessories arm"/>
    <x v="814"/>
    <n v="10"/>
    <n v="0.15"/>
    <n v="787.82"/>
    <n v="158.82999999999993"/>
    <s v="profit"/>
  </r>
  <r>
    <s v="835b5ceb-95fa-4b00-b841-9d64b7d20162"/>
    <d v="2024-04-19T00:00:00"/>
    <d v="2024-04-27T00:00:00"/>
    <x v="1"/>
    <x v="1"/>
    <s v="Q2"/>
    <n v="8"/>
    <x v="0"/>
    <x v="2"/>
    <x v="1"/>
    <x v="4"/>
    <s v="Pens environment"/>
    <x v="815"/>
    <n v="5"/>
    <n v="0.44"/>
    <n v="274.39"/>
    <n v="282.58000000000004"/>
    <s v="profit"/>
  </r>
  <r>
    <s v="01e4e9c7-6fbf-44ab-beec-22eed3729407"/>
    <d v="2023-05-31T00:00:00"/>
    <d v="2023-06-03T00:00:00"/>
    <x v="0"/>
    <x v="3"/>
    <s v="Q3"/>
    <n v="3"/>
    <x v="3"/>
    <x v="4"/>
    <x v="0"/>
    <x v="3"/>
    <s v="Bookcases yet"/>
    <x v="816"/>
    <n v="4"/>
    <n v="7.0000000000000007E-2"/>
    <n v="139.16999999999999"/>
    <n v="42.79000000000002"/>
    <s v="profit"/>
  </r>
  <r>
    <s v="3f977e5a-6863-4a7d-82fe-43b3a0b4ba4c"/>
    <d v="2023-12-17T00:00:00"/>
    <d v="2023-12-24T00:00:00"/>
    <x v="1"/>
    <x v="9"/>
    <s v="Q4"/>
    <n v="7"/>
    <x v="0"/>
    <x v="2"/>
    <x v="0"/>
    <x v="3"/>
    <s v="Bookcases force"/>
    <x v="817"/>
    <n v="4"/>
    <n v="0.16"/>
    <n v="743.71"/>
    <n v="181.05999999999995"/>
    <s v="profit"/>
  </r>
  <r>
    <s v="f5ecf3ce-705b-4db8-bce0-ae9107ba4c5c"/>
    <d v="2024-10-11T00:00:00"/>
    <d v="2024-10-15T00:00:00"/>
    <x v="1"/>
    <x v="4"/>
    <s v="Q4"/>
    <n v="4"/>
    <x v="3"/>
    <x v="3"/>
    <x v="1"/>
    <x v="1"/>
    <s v="Paper heart"/>
    <x v="818"/>
    <n v="4"/>
    <n v="0.25"/>
    <n v="268.23"/>
    <n v="103.76999999999998"/>
    <s v="profit"/>
  </r>
  <r>
    <s v="137f9781-8113-491a-abdb-a2b274e36f95"/>
    <d v="2024-08-12T00:00:00"/>
    <d v="2024-08-21T00:00:00"/>
    <x v="0"/>
    <x v="2"/>
    <s v="Q3"/>
    <n v="9"/>
    <x v="2"/>
    <x v="0"/>
    <x v="1"/>
    <x v="4"/>
    <s v="Pens live"/>
    <x v="819"/>
    <n v="1"/>
    <n v="0.4"/>
    <n v="173.98"/>
    <n v="186.6"/>
    <s v="profit"/>
  </r>
  <r>
    <s v="9d1821c9-9562-44cf-9ad6-0846f493fb43"/>
    <d v="2024-03-08T00:00:00"/>
    <d v="2024-03-14T00:00:00"/>
    <x v="0"/>
    <x v="10"/>
    <s v="Q2"/>
    <n v="6"/>
    <x v="1"/>
    <x v="1"/>
    <x v="1"/>
    <x v="1"/>
    <s v="Paper role"/>
    <x v="820"/>
    <n v="1"/>
    <n v="0.44"/>
    <n v="387.53"/>
    <n v="346.29000000000008"/>
    <s v="profit"/>
  </r>
  <r>
    <s v="6d6fdc9b-f815-4bf0-ac35-540ecea60af8"/>
    <d v="2024-04-18T00:00:00"/>
    <d v="2024-04-21T00:00:00"/>
    <x v="0"/>
    <x v="1"/>
    <s v="Q2"/>
    <n v="3"/>
    <x v="0"/>
    <x v="4"/>
    <x v="1"/>
    <x v="1"/>
    <s v="Paper shake"/>
    <x v="821"/>
    <n v="5"/>
    <n v="0.06"/>
    <n v="717.78"/>
    <n v="86.800000000000068"/>
    <s v="profit"/>
  </r>
  <r>
    <s v="61810b6e-610e-4e5d-82f1-c1e5229ac428"/>
    <d v="2023-09-01T00:00:00"/>
    <d v="2023-09-03T00:00:00"/>
    <x v="0"/>
    <x v="11"/>
    <s v="Q4"/>
    <n v="2"/>
    <x v="1"/>
    <x v="5"/>
    <x v="0"/>
    <x v="0"/>
    <s v="Tables your"/>
    <x v="822"/>
    <n v="9"/>
    <n v="0.16"/>
    <n v="8.08"/>
    <n v="55.39"/>
    <s v="profit"/>
  </r>
  <r>
    <s v="21f31fc2-43f1-4fee-b45f-cfb48b573771"/>
    <d v="2023-12-04T00:00:00"/>
    <d v="2023-12-07T00:00:00"/>
    <x v="1"/>
    <x v="9"/>
    <s v="Q4"/>
    <n v="3"/>
    <x v="1"/>
    <x v="4"/>
    <x v="2"/>
    <x v="5"/>
    <s v="Phones buy"/>
    <x v="823"/>
    <n v="9"/>
    <n v="0.27"/>
    <n v="410.47"/>
    <n v="201.86"/>
    <s v="profit"/>
  </r>
  <r>
    <s v="a8af056d-4361-41c5-9aaa-97043994b83b"/>
    <d v="2023-09-19T00:00:00"/>
    <d v="2023-09-25T00:00:00"/>
    <x v="1"/>
    <x v="11"/>
    <s v="Q4"/>
    <n v="6"/>
    <x v="1"/>
    <x v="6"/>
    <x v="2"/>
    <x v="2"/>
    <s v="Accessories law"/>
    <x v="824"/>
    <n v="5"/>
    <n v="0"/>
    <n v="621.75"/>
    <n v="26.17999999999995"/>
    <s v="profit"/>
  </r>
  <r>
    <s v="a66feee1-6fd5-4c0e-8eee-c6d30efb0cc2"/>
    <d v="2023-06-17T00:00:00"/>
    <d v="2023-06-21T00:00:00"/>
    <x v="1"/>
    <x v="3"/>
    <s v="Q3"/>
    <n v="4"/>
    <x v="1"/>
    <x v="7"/>
    <x v="1"/>
    <x v="8"/>
    <s v="Binders away"/>
    <x v="825"/>
    <n v="9"/>
    <n v="0.3"/>
    <n v="617.26"/>
    <n v="312.97000000000003"/>
    <s v="profit"/>
  </r>
  <r>
    <s v="f3b97696-e41e-4c7d-956b-e936c3949a17"/>
    <d v="2024-08-01T00:00:00"/>
    <d v="2024-08-03T00:00:00"/>
    <x v="1"/>
    <x v="2"/>
    <s v="Q3"/>
    <n v="2"/>
    <x v="0"/>
    <x v="7"/>
    <x v="2"/>
    <x v="2"/>
    <s v="Accessories speak"/>
    <x v="826"/>
    <n v="7"/>
    <n v="0.2"/>
    <n v="645.36"/>
    <n v="187.40999999999997"/>
    <s v="profit"/>
  </r>
  <r>
    <s v="b88f2beb-7743-4280-a19b-edc556955e61"/>
    <d v="2023-12-29T00:00:00"/>
    <d v="2024-01-04T00:00:00"/>
    <x v="0"/>
    <x v="0"/>
    <s v="Q1"/>
    <n v="6"/>
    <x v="0"/>
    <x v="4"/>
    <x v="0"/>
    <x v="7"/>
    <s v="Chairs treat"/>
    <x v="827"/>
    <n v="5"/>
    <n v="0.45"/>
    <n v="12.39"/>
    <n v="29.04"/>
    <s v="profit"/>
  </r>
  <r>
    <s v="079603f8-1653-4d3c-bb88-ec0e36c3d26a"/>
    <d v="2024-06-14T00:00:00"/>
    <d v="2024-06-14T00:00:00"/>
    <x v="1"/>
    <x v="3"/>
    <s v="Q3"/>
    <n v="0"/>
    <x v="0"/>
    <x v="1"/>
    <x v="0"/>
    <x v="3"/>
    <s v="Bookcases well"/>
    <x v="828"/>
    <n v="6"/>
    <n v="0.19"/>
    <n v="302.97000000000003"/>
    <n v="121.66999999999996"/>
    <s v="profit"/>
  </r>
  <r>
    <s v="b0e8b41e-0759-4360-8b3b-fbf1d0547644"/>
    <d v="2023-08-29T00:00:00"/>
    <d v="2023-08-30T00:00:00"/>
    <x v="0"/>
    <x v="2"/>
    <s v="Q3"/>
    <n v="1"/>
    <x v="0"/>
    <x v="5"/>
    <x v="0"/>
    <x v="7"/>
    <s v="Chairs worry"/>
    <x v="829"/>
    <n v="3"/>
    <n v="0.26"/>
    <n v="120.08"/>
    <n v="96.08"/>
    <s v="profit"/>
  </r>
  <r>
    <s v="a6f63b96-90bc-4150-8080-28bebd37ff25"/>
    <d v="2024-02-03T00:00:00"/>
    <d v="2024-02-08T00:00:00"/>
    <x v="1"/>
    <x v="6"/>
    <s v="Q1"/>
    <n v="5"/>
    <x v="3"/>
    <x v="3"/>
    <x v="0"/>
    <x v="0"/>
    <s v="Tables total"/>
    <x v="830"/>
    <n v="7"/>
    <n v="0.49"/>
    <n v="328.06"/>
    <n v="338.76000000000005"/>
    <s v="profit"/>
  </r>
  <r>
    <s v="f61de5e4-9459-410e-9880-f4ce247cd8a8"/>
    <d v="2024-08-22T00:00:00"/>
    <d v="2024-08-26T00:00:00"/>
    <x v="0"/>
    <x v="2"/>
    <s v="Q3"/>
    <n v="4"/>
    <x v="3"/>
    <x v="6"/>
    <x v="0"/>
    <x v="3"/>
    <s v="Bookcases probably"/>
    <x v="831"/>
    <n v="10"/>
    <n v="0.28000000000000003"/>
    <n v="48.79"/>
    <n v="33.770000000000003"/>
    <s v="profit"/>
  </r>
  <r>
    <s v="e902c8ee-0529-4444-a2c0-3bbd460040fe"/>
    <d v="2023-04-28T00:00:00"/>
    <d v="2023-05-04T00:00:00"/>
    <x v="0"/>
    <x v="8"/>
    <s v="Q2"/>
    <n v="6"/>
    <x v="1"/>
    <x v="7"/>
    <x v="2"/>
    <x v="2"/>
    <s v="Accessories including"/>
    <x v="832"/>
    <n v="1"/>
    <n v="0.05"/>
    <n v="217.58"/>
    <n v="22.949999999999989"/>
    <s v="profit"/>
  </r>
  <r>
    <s v="9a6f7be2-d3e6-4694-8230-88b7dcacc6a0"/>
    <d v="2023-05-19T00:00:00"/>
    <d v="2023-05-22T00:00:00"/>
    <x v="1"/>
    <x v="8"/>
    <s v="Q2"/>
    <n v="3"/>
    <x v="0"/>
    <x v="7"/>
    <x v="1"/>
    <x v="4"/>
    <s v="Pens rock"/>
    <x v="833"/>
    <n v="8"/>
    <n v="0.43"/>
    <n v="96.41"/>
    <n v="95.94"/>
    <s v="profit"/>
  </r>
  <r>
    <s v="1c506557-bfa4-41d6-9dc6-d39a5ce9faa7"/>
    <d v="2024-05-03T00:00:00"/>
    <d v="2024-05-09T00:00:00"/>
    <x v="1"/>
    <x v="8"/>
    <s v="Q2"/>
    <n v="6"/>
    <x v="1"/>
    <x v="4"/>
    <x v="0"/>
    <x v="3"/>
    <s v="Bookcases dog"/>
    <x v="834"/>
    <n v="10"/>
    <n v="0.2"/>
    <n v="766.11"/>
    <n v="219.15999999999997"/>
    <s v="profit"/>
  </r>
  <r>
    <s v="5819e7dd-6bb0-430c-87f5-6be6dd68907c"/>
    <d v="2024-03-22T00:00:00"/>
    <d v="2024-03-30T00:00:00"/>
    <x v="0"/>
    <x v="10"/>
    <s v="Q2"/>
    <n v="8"/>
    <x v="1"/>
    <x v="0"/>
    <x v="2"/>
    <x v="6"/>
    <s v="Laptops help"/>
    <x v="835"/>
    <n v="10"/>
    <n v="0.19"/>
    <n v="367.61"/>
    <n v="101.14999999999998"/>
    <s v="profit"/>
  </r>
  <r>
    <s v="5ef06518-8940-464a-a319-6e2d0542b74d"/>
    <d v="2023-10-16T00:00:00"/>
    <d v="2023-10-23T00:00:00"/>
    <x v="0"/>
    <x v="4"/>
    <s v="Q4"/>
    <n v="7"/>
    <x v="0"/>
    <x v="3"/>
    <x v="2"/>
    <x v="6"/>
    <s v="Laptops if"/>
    <x v="836"/>
    <n v="9"/>
    <n v="0.28999999999999998"/>
    <n v="17.850000000000001"/>
    <n v="48.27"/>
    <s v="profit"/>
  </r>
  <r>
    <s v="571be476-0ade-436c-a8cf-73e0fe26278b"/>
    <d v="2024-08-20T00:00:00"/>
    <d v="2024-08-20T00:00:00"/>
    <x v="1"/>
    <x v="2"/>
    <s v="Q3"/>
    <n v="0"/>
    <x v="0"/>
    <x v="1"/>
    <x v="1"/>
    <x v="4"/>
    <s v="Pens experience"/>
    <x v="837"/>
    <n v="3"/>
    <n v="0.28999999999999998"/>
    <n v="324.77"/>
    <n v="194.64999999999998"/>
    <s v="profit"/>
  </r>
  <r>
    <s v="24bf562c-5e49-4de0-984d-5c17a6afda20"/>
    <d v="2024-10-06T00:00:00"/>
    <d v="2024-10-09T00:00:00"/>
    <x v="0"/>
    <x v="4"/>
    <s v="Q4"/>
    <n v="3"/>
    <x v="2"/>
    <x v="1"/>
    <x v="0"/>
    <x v="0"/>
    <s v="Tables next"/>
    <x v="838"/>
    <n v="1"/>
    <n v="0.3"/>
    <n v="191.27"/>
    <n v="121.16"/>
    <s v="profit"/>
  </r>
  <r>
    <s v="1e3efbb9-7f4a-420c-9f16-a54775bda270"/>
    <d v="2024-04-24T00:00:00"/>
    <d v="2024-04-29T00:00:00"/>
    <x v="0"/>
    <x v="1"/>
    <s v="Q2"/>
    <n v="5"/>
    <x v="0"/>
    <x v="7"/>
    <x v="1"/>
    <x v="8"/>
    <s v="Binders fly"/>
    <x v="839"/>
    <n v="4"/>
    <n v="0.28999999999999998"/>
    <n v="347.42"/>
    <n v="192.90000000000003"/>
    <s v="profit"/>
  </r>
  <r>
    <s v="2725cd44-9087-49fe-939e-48a26e7fc9eb"/>
    <d v="2024-05-25T00:00:00"/>
    <d v="2024-05-30T00:00:00"/>
    <x v="0"/>
    <x v="8"/>
    <s v="Q2"/>
    <n v="5"/>
    <x v="1"/>
    <x v="1"/>
    <x v="1"/>
    <x v="1"/>
    <s v="Paper Mr"/>
    <x v="840"/>
    <n v="4"/>
    <n v="0.05"/>
    <n v="359.58"/>
    <n v="47.850000000000023"/>
    <s v="profit"/>
  </r>
  <r>
    <s v="a4eee917-ac4d-488f-b20f-ff3ad2adb052"/>
    <m/>
    <d v="2023-09-19T00:00:00"/>
    <x v="0"/>
    <x v="11"/>
    <s v="Q4"/>
    <n v="45188"/>
    <x v="4"/>
    <x v="0"/>
    <x v="0"/>
    <x v="0"/>
    <s v="Tables rise"/>
    <x v="59"/>
    <n v="3"/>
    <n v="0.05"/>
    <n v="585.57000000000005"/>
    <e v="#VALUE!"/>
    <s v="profit"/>
  </r>
  <r>
    <s v="77224322-bdfc-4f06-9282-c219462cfc03"/>
    <d v="2023-06-21T00:00:00"/>
    <d v="2023-06-29T00:00:00"/>
    <x v="2"/>
    <x v="3"/>
    <s v="Q3"/>
    <n v="8"/>
    <x v="1"/>
    <x v="7"/>
    <x v="0"/>
    <x v="7"/>
    <s v="Chairs right"/>
    <x v="841"/>
    <n v="8"/>
    <n v="0.25"/>
    <n v="98.81"/>
    <n v="82.039999999999992"/>
    <s v="profit"/>
  </r>
  <r>
    <s v="b9c18773-b746-43e4-81a0-0ab7c62eb05e"/>
    <d v="2024-09-04T00:00:00"/>
    <d v="2024-09-06T00:00:00"/>
    <x v="1"/>
    <x v="11"/>
    <s v="Q4"/>
    <n v="2"/>
    <x v="3"/>
    <x v="3"/>
    <x v="0"/>
    <x v="3"/>
    <s v="Bookcases billion"/>
    <x v="842"/>
    <n v="5"/>
    <n v="0.49"/>
    <n v="227.42"/>
    <n v="284.12"/>
    <s v="profit"/>
  </r>
  <r>
    <s v="e251693a-b7a2-476c-ab90-32fff66d02b7"/>
    <d v="2024-07-03T00:00:00"/>
    <d v="2024-07-04T00:00:00"/>
    <x v="0"/>
    <x v="7"/>
    <s v="Q3"/>
    <n v="1"/>
    <x v="1"/>
    <x v="0"/>
    <x v="2"/>
    <x v="2"/>
    <s v="Accessories mention"/>
    <x v="843"/>
    <n v="2"/>
    <n v="0.08"/>
    <n v="572.30999999999995"/>
    <n v="81.880000000000109"/>
    <s v="profit"/>
  </r>
  <r>
    <s v="9cded2fd-71e4-4f17-924f-02a8a0868b8c"/>
    <d v="2024-11-01T00:00:00"/>
    <d v="2024-11-03T00:00:00"/>
    <x v="0"/>
    <x v="5"/>
    <s v="Q4"/>
    <n v="2"/>
    <x v="1"/>
    <x v="1"/>
    <x v="1"/>
    <x v="8"/>
    <s v="Binders public"/>
    <x v="844"/>
    <n v="7"/>
    <n v="0.26"/>
    <n v="293.08999999999997"/>
    <n v="132.48000000000002"/>
    <s v="profit"/>
  </r>
  <r>
    <s v="cf504777-ec2c-4488-87af-990e43f61360"/>
    <d v="2023-07-23T00:00:00"/>
    <d v="2023-07-23T00:00:00"/>
    <x v="0"/>
    <x v="7"/>
    <s v="Q3"/>
    <n v="0"/>
    <x v="3"/>
    <x v="6"/>
    <x v="1"/>
    <x v="4"/>
    <s v="Pens against"/>
    <x v="845"/>
    <n v="2"/>
    <n v="0.22"/>
    <n v="633.88"/>
    <n v="231.51"/>
    <s v="profit"/>
  </r>
  <r>
    <s v="a9e7143f-ccff-4982-8751-c92f1adeb2cf"/>
    <d v="2023-10-17T00:00:00"/>
    <d v="2023-10-19T00:00:00"/>
    <x v="1"/>
    <x v="4"/>
    <s v="Q4"/>
    <n v="2"/>
    <x v="2"/>
    <x v="6"/>
    <x v="0"/>
    <x v="7"/>
    <s v="Chairs same"/>
    <x v="846"/>
    <n v="7"/>
    <n v="0.4"/>
    <n v="346.93"/>
    <n v="305.01000000000005"/>
    <s v="profit"/>
  </r>
  <r>
    <s v="70a000ae-3d44-402b-9f9a-5827775cf7ca"/>
    <d v="2024-04-12T00:00:00"/>
    <d v="2024-04-21T00:00:00"/>
    <x v="1"/>
    <x v="1"/>
    <s v="Q2"/>
    <n v="9"/>
    <x v="3"/>
    <x v="4"/>
    <x v="0"/>
    <x v="0"/>
    <s v="Tables process"/>
    <x v="847"/>
    <n v="3"/>
    <n v="0.32"/>
    <n v="152.57"/>
    <n v="118.44999999999999"/>
    <s v="profit"/>
  </r>
  <r>
    <s v="90faf4c2-5a68-4a00-acf6-b4fc25447483"/>
    <d v="2022-12-22T00:00:00"/>
    <d v="2022-12-26T00:00:00"/>
    <x v="0"/>
    <x v="9"/>
    <s v="Q4"/>
    <n v="4"/>
    <x v="3"/>
    <x v="5"/>
    <x v="1"/>
    <x v="8"/>
    <s v="Binders language"/>
    <x v="848"/>
    <n v="8"/>
    <n v="0.19"/>
    <n v="347.75"/>
    <n v="119.51999999999998"/>
    <s v="profit"/>
  </r>
  <r>
    <s v="3ae34ef0-4145-41ad-8003-b175286c4ab3"/>
    <d v="2023-02-24T00:00:00"/>
    <d v="2023-03-03T00:00:00"/>
    <x v="3"/>
    <x v="10"/>
    <s v="Q2"/>
    <n v="7"/>
    <x v="1"/>
    <x v="4"/>
    <x v="0"/>
    <x v="0"/>
    <s v="Tables prepare"/>
    <x v="849"/>
    <n v="7"/>
    <n v="7.0000000000000007E-2"/>
    <n v="209.66"/>
    <n v="64.22"/>
    <s v="profit"/>
  </r>
  <r>
    <s v="319b8275-923a-4699-b824-903f7e5014ca"/>
    <d v="2023-06-01T00:00:00"/>
    <d v="2023-06-01T00:00:00"/>
    <x v="1"/>
    <x v="3"/>
    <s v="Q3"/>
    <n v="0"/>
    <x v="3"/>
    <x v="3"/>
    <x v="2"/>
    <x v="6"/>
    <s v="Laptops blood"/>
    <x v="850"/>
    <n v="10"/>
    <n v="0.21"/>
    <n v="543.28"/>
    <n v="202.20000000000005"/>
    <s v="profit"/>
  </r>
  <r>
    <s v="754a58b9-e499-48d8-a8ba-4c1b1f8ba98c"/>
    <d v="2024-09-22T00:00:00"/>
    <d v="2024-09-27T00:00:00"/>
    <x v="1"/>
    <x v="11"/>
    <s v="Q4"/>
    <n v="5"/>
    <x v="1"/>
    <x v="3"/>
    <x v="0"/>
    <x v="7"/>
    <s v="Chairs state"/>
    <x v="851"/>
    <n v="5"/>
    <n v="0.18"/>
    <n v="714.16"/>
    <n v="185.09000000000003"/>
    <s v="profit"/>
  </r>
  <r>
    <s v="221f51f1-0fe3-4cf0-8d6a-386a2afa0522"/>
    <d v="2024-08-05T00:00:00"/>
    <d v="2024-08-07T00:00:00"/>
    <x v="0"/>
    <x v="2"/>
    <s v="Q3"/>
    <n v="2"/>
    <x v="2"/>
    <x v="1"/>
    <x v="2"/>
    <x v="5"/>
    <s v="Phones international"/>
    <x v="852"/>
    <n v="5"/>
    <n v="-0.3"/>
    <n v="402.18"/>
    <n v="91.199999999999989"/>
    <s v="profit"/>
  </r>
  <r>
    <s v="b9950e51-7c40-48e9-88ec-61d4480191b4"/>
    <d v="2024-08-23T00:00:00"/>
    <d v="2024-08-30T00:00:00"/>
    <x v="0"/>
    <x v="2"/>
    <s v="Q3"/>
    <n v="7"/>
    <x v="1"/>
    <x v="3"/>
    <x v="2"/>
    <x v="5"/>
    <s v="Phones scientist"/>
    <x v="853"/>
    <n v="1"/>
    <n v="0.48"/>
    <n v="330.46"/>
    <n v="392.57"/>
    <s v="profit"/>
  </r>
  <r>
    <s v="a3050829-3570-4511-aa8a-b3ecece434be"/>
    <d v="2023-01-16T00:00:00"/>
    <d v="2023-01-21T00:00:00"/>
    <x v="0"/>
    <x v="0"/>
    <s v="Q1"/>
    <n v="5"/>
    <x v="1"/>
    <x v="3"/>
    <x v="2"/>
    <x v="5"/>
    <s v="Phones others"/>
    <x v="854"/>
    <n v="1"/>
    <n v="0.18"/>
    <n v="356.68"/>
    <n v="104.88999999999999"/>
    <s v="profit"/>
  </r>
  <r>
    <s v="895cbf99-c4eb-4c65-a68c-b47abe186b63"/>
    <d v="2023-04-01T00:00:00"/>
    <d v="2023-04-01T00:00:00"/>
    <x v="1"/>
    <x v="1"/>
    <s v="Q2"/>
    <n v="0"/>
    <x v="2"/>
    <x v="6"/>
    <x v="2"/>
    <x v="2"/>
    <s v="Accessories law"/>
    <x v="855"/>
    <n v="7"/>
    <n v="0.04"/>
    <n v="683.71"/>
    <n v="71.319999999999936"/>
    <s v="profit"/>
  </r>
  <r>
    <s v="4f2dc24f-0012-4833-8a73-286e5fe38420"/>
    <m/>
    <d v="2024-05-30T00:00:00"/>
    <x v="1"/>
    <x v="8"/>
    <s v="Q2"/>
    <n v="45442"/>
    <x v="4"/>
    <x v="1"/>
    <x v="1"/>
    <x v="1"/>
    <s v="Paper head"/>
    <x v="59"/>
    <n v="1"/>
    <n v="0.27"/>
    <n v="392.96"/>
    <e v="#VALUE!"/>
    <s v="profit"/>
  </r>
  <r>
    <s v="5e876941-10cf-44b8-a0b8-d3ff29047950"/>
    <d v="2023-10-15T00:00:00"/>
    <d v="2023-10-15T00:00:00"/>
    <x v="2"/>
    <x v="4"/>
    <s v="Q4"/>
    <n v="0"/>
    <x v="0"/>
    <x v="7"/>
    <x v="0"/>
    <x v="7"/>
    <s v="Chairs activity"/>
    <x v="856"/>
    <n v="6"/>
    <n v="0.44"/>
    <n v="368.49"/>
    <n v="362.98"/>
    <s v="profit"/>
  </r>
  <r>
    <s v="0524d1c8-7d1b-4dfd-9726-c59f195284e7"/>
    <m/>
    <d v="2024-11-13T00:00:00"/>
    <x v="1"/>
    <x v="5"/>
    <s v="Q4"/>
    <n v="45609"/>
    <x v="4"/>
    <x v="2"/>
    <x v="2"/>
    <x v="2"/>
    <s v="Accessories finish"/>
    <x v="59"/>
    <n v="1"/>
    <n v="0.28999999999999998"/>
    <n v="183.2"/>
    <e v="#VALUE!"/>
    <s v="profit"/>
  </r>
  <r>
    <s v="ffb83077-a157-4f56-8481-5a6ebfdd2631"/>
    <m/>
    <d v="2024-08-01T00:00:00"/>
    <x v="2"/>
    <x v="2"/>
    <s v="Q3"/>
    <n v="45505"/>
    <x v="4"/>
    <x v="6"/>
    <x v="2"/>
    <x v="2"/>
    <s v="Accessories while"/>
    <x v="59"/>
    <n v="7"/>
    <n v="0.38"/>
    <n v="378.17"/>
    <e v="#VALUE!"/>
    <s v="profit"/>
  </r>
  <r>
    <s v="88aa9378-6db6-4010-902c-906e9512bb84"/>
    <d v="2023-05-27T00:00:00"/>
    <d v="2023-06-03T00:00:00"/>
    <x v="2"/>
    <x v="3"/>
    <s v="Q3"/>
    <n v="7"/>
    <x v="2"/>
    <x v="0"/>
    <x v="1"/>
    <x v="1"/>
    <s v="Paper draw"/>
    <x v="857"/>
    <n v="9"/>
    <n v="0.49"/>
    <n v="7.69"/>
    <n v="61.44"/>
    <s v="profit"/>
  </r>
  <r>
    <s v="47b22089-7b80-4837-b2cc-65f5e1e35981"/>
    <d v="2024-11-17T00:00:00"/>
    <d v="2024-11-22T00:00:00"/>
    <x v="1"/>
    <x v="5"/>
    <s v="Q4"/>
    <n v="5"/>
    <x v="1"/>
    <x v="1"/>
    <x v="0"/>
    <x v="0"/>
    <s v="Tables prevent"/>
    <x v="858"/>
    <n v="5"/>
    <n v="0.11"/>
    <n v="364.79"/>
    <n v="65.319999999999993"/>
    <s v="profit"/>
  </r>
  <r>
    <s v="e44c5630-fa16-435d-bbce-c4710fd4ed95"/>
    <d v="2024-06-09T00:00:00"/>
    <d v="2024-06-13T00:00:00"/>
    <x v="0"/>
    <x v="3"/>
    <s v="Q3"/>
    <n v="4"/>
    <x v="2"/>
    <x v="3"/>
    <x v="2"/>
    <x v="6"/>
    <s v="Laptops health"/>
    <x v="859"/>
    <n v="1"/>
    <n v="0.42"/>
    <n v="392.77"/>
    <n v="316.55000000000007"/>
    <s v="profit"/>
  </r>
  <r>
    <s v="f05799ef-9e5c-49a0-9b41-3e9e1b6ac4b9"/>
    <d v="2023-03-24T00:00:00"/>
    <d v="2023-03-27T00:00:00"/>
    <x v="0"/>
    <x v="10"/>
    <s v="Q2"/>
    <n v="3"/>
    <x v="3"/>
    <x v="7"/>
    <x v="2"/>
    <x v="6"/>
    <s v="Laptops service"/>
    <x v="860"/>
    <n v="9"/>
    <n v="0.19"/>
    <n v="286.56"/>
    <n v="98.660000000000025"/>
    <s v="profit"/>
  </r>
  <r>
    <s v="a56cbff5-9222-43e8-87d2-beaf51f11548"/>
    <d v="2024-10-04T00:00:00"/>
    <d v="2024-10-06T00:00:00"/>
    <x v="1"/>
    <x v="4"/>
    <s v="Q4"/>
    <n v="2"/>
    <x v="0"/>
    <x v="5"/>
    <x v="0"/>
    <x v="0"/>
    <s v="Tables entire"/>
    <x v="861"/>
    <n v="10"/>
    <n v="0"/>
    <n v="869.11"/>
    <n v="38.860000000000014"/>
    <s v="profit"/>
  </r>
  <r>
    <s v="60411c46-04d7-475f-be2e-6ccafb656678"/>
    <d v="2024-07-09T00:00:00"/>
    <d v="2024-07-14T00:00:00"/>
    <x v="0"/>
    <x v="7"/>
    <s v="Q3"/>
    <n v="5"/>
    <x v="1"/>
    <x v="7"/>
    <x v="2"/>
    <x v="6"/>
    <s v="Laptops foreign"/>
    <x v="862"/>
    <n v="4"/>
    <n v="0.49"/>
    <n v="85.48"/>
    <n v="122.99"/>
    <s v="profit"/>
  </r>
  <r>
    <s v="d386fe23-a17a-4cd8-886c-37f97591bc9a"/>
    <d v="2023-04-22T00:00:00"/>
    <d v="2023-04-28T00:00:00"/>
    <x v="0"/>
    <x v="1"/>
    <s v="Q2"/>
    <n v="6"/>
    <x v="1"/>
    <x v="6"/>
    <x v="2"/>
    <x v="6"/>
    <s v="Laptops authority"/>
    <x v="863"/>
    <n v="9"/>
    <n v="0.13"/>
    <n v="233.22"/>
    <n v="58.950000000000017"/>
    <s v="profit"/>
  </r>
  <r>
    <s v="35050684-1cdd-41b3-9e76-e3423cca8774"/>
    <d v="2023-11-21T00:00:00"/>
    <d v="2023-11-23T00:00:00"/>
    <x v="1"/>
    <x v="5"/>
    <s v="Q4"/>
    <n v="2"/>
    <x v="0"/>
    <x v="6"/>
    <x v="2"/>
    <x v="6"/>
    <s v="Laptops best"/>
    <x v="864"/>
    <n v="2"/>
    <n v="0.08"/>
    <n v="105.5"/>
    <n v="20.849999999999994"/>
    <s v="profit"/>
  </r>
  <r>
    <s v="8c9b690e-ccbc-4c61-a18c-2b7350f28329"/>
    <d v="2024-05-05T00:00:00"/>
    <d v="2024-05-13T00:00:00"/>
    <x v="1"/>
    <x v="8"/>
    <s v="Q2"/>
    <n v="8"/>
    <x v="1"/>
    <x v="6"/>
    <x v="0"/>
    <x v="3"/>
    <s v="Bookcases generation"/>
    <x v="865"/>
    <n v="8"/>
    <n v="0.43"/>
    <n v="58.14"/>
    <n v="129.13999999999999"/>
    <s v="profit"/>
  </r>
  <r>
    <s v="7d6683b6-b6e0-464a-a61b-832b570ced59"/>
    <d v="2023-08-18T00:00:00"/>
    <d v="2023-08-23T00:00:00"/>
    <x v="0"/>
    <x v="2"/>
    <s v="Q3"/>
    <n v="5"/>
    <x v="3"/>
    <x v="0"/>
    <x v="0"/>
    <x v="3"/>
    <s v="Bookcases movement"/>
    <x v="866"/>
    <n v="3"/>
    <n v="0.12"/>
    <n v="225.1"/>
    <n v="81.400000000000006"/>
    <s v="profit"/>
  </r>
  <r>
    <s v="22ac0a62-0f60-4429-aaf6-28c7eb67d5e1"/>
    <d v="2024-02-14T00:00:00"/>
    <d v="2024-02-22T00:00:00"/>
    <x v="1"/>
    <x v="6"/>
    <s v="Q1"/>
    <n v="8"/>
    <x v="0"/>
    <x v="4"/>
    <x v="0"/>
    <x v="7"/>
    <s v="Chairs help"/>
    <x v="867"/>
    <n v="8"/>
    <n v="0.48"/>
    <n v="180.75"/>
    <n v="221.19"/>
    <s v="profit"/>
  </r>
  <r>
    <s v="cfe3cfaf-2073-467e-91d6-d049307522e0"/>
    <d v="2023-04-23T00:00:00"/>
    <d v="2023-04-27T00:00:00"/>
    <x v="0"/>
    <x v="1"/>
    <s v="Q2"/>
    <n v="4"/>
    <x v="1"/>
    <x v="4"/>
    <x v="1"/>
    <x v="4"/>
    <s v="Pens believe"/>
    <x v="868"/>
    <n v="1"/>
    <n v="0.4"/>
    <n v="116.9"/>
    <n v="142.29"/>
    <s v="profit"/>
  </r>
  <r>
    <s v="edafb5fb-2ba6-4d86-9051-36eec74d3f6a"/>
    <d v="2024-10-05T00:00:00"/>
    <d v="2024-10-07T00:00:00"/>
    <x v="1"/>
    <x v="4"/>
    <s v="Q4"/>
    <n v="2"/>
    <x v="2"/>
    <x v="5"/>
    <x v="2"/>
    <x v="6"/>
    <s v="Laptops run"/>
    <x v="869"/>
    <n v="9"/>
    <n v="0.44"/>
    <n v="431.35"/>
    <n v="414.72"/>
    <s v="profit"/>
  </r>
  <r>
    <s v="42c473ab-a781-473f-9183-65b45e1d3c84"/>
    <d v="2023-08-29T00:00:00"/>
    <d v="2023-09-02T00:00:00"/>
    <x v="0"/>
    <x v="11"/>
    <s v="Q4"/>
    <n v="4"/>
    <x v="3"/>
    <x v="2"/>
    <x v="2"/>
    <x v="2"/>
    <s v="Accessories true"/>
    <x v="870"/>
    <n v="7"/>
    <n v="0.37"/>
    <n v="234.59"/>
    <n v="211.54999999999998"/>
    <s v="profit"/>
  </r>
  <r>
    <s v="7d79ba0a-3e89-4e48-aef0-aa4a8b8e63d1"/>
    <d v="2024-10-28T00:00:00"/>
    <d v="2024-11-06T00:00:00"/>
    <x v="1"/>
    <x v="5"/>
    <s v="Q4"/>
    <n v="9"/>
    <x v="3"/>
    <x v="7"/>
    <x v="2"/>
    <x v="6"/>
    <s v="Laptops someone"/>
    <x v="871"/>
    <n v="7"/>
    <n v="0.05"/>
    <n v="214.64"/>
    <n v="41.600000000000023"/>
    <s v="profit"/>
  </r>
  <r>
    <s v="a85fea39-1f03-48a1-bffa-546d1bd22af8"/>
    <d v="2024-09-03T00:00:00"/>
    <d v="2024-09-06T00:00:00"/>
    <x v="0"/>
    <x v="11"/>
    <s v="Q4"/>
    <n v="3"/>
    <x v="1"/>
    <x v="5"/>
    <x v="0"/>
    <x v="7"/>
    <s v="Chairs media"/>
    <x v="872"/>
    <n v="8"/>
    <n v="0.11"/>
    <n v="679"/>
    <n v="99.360000000000014"/>
    <s v="profit"/>
  </r>
  <r>
    <s v="815bef6e-a8d3-45eb-a1b6-d24ba50c54da"/>
    <d v="2024-10-20T00:00:00"/>
    <d v="2024-10-22T00:00:00"/>
    <x v="0"/>
    <x v="4"/>
    <s v="Q4"/>
    <n v="2"/>
    <x v="2"/>
    <x v="0"/>
    <x v="2"/>
    <x v="2"/>
    <s v="Accessories local"/>
    <x v="873"/>
    <n v="10"/>
    <n v="0.46"/>
    <n v="195.2"/>
    <n v="246.2"/>
    <s v="profit"/>
  </r>
  <r>
    <s v="5e94c964-e8d6-4aa9-8de9-530f2c122928"/>
    <d v="2023-08-07T00:00:00"/>
    <d v="2023-08-16T00:00:00"/>
    <x v="0"/>
    <x v="2"/>
    <s v="Q3"/>
    <n v="9"/>
    <x v="3"/>
    <x v="7"/>
    <x v="1"/>
    <x v="4"/>
    <s v="Pens claim"/>
    <x v="874"/>
    <n v="6"/>
    <n v="0.46"/>
    <n v="229.95"/>
    <n v="273.53000000000003"/>
    <s v="profit"/>
  </r>
  <r>
    <s v="ed67501a-360c-41ba-9dad-dd9c09f3dc6e"/>
    <d v="2023-06-05T00:00:00"/>
    <d v="2023-06-07T00:00:00"/>
    <x v="1"/>
    <x v="3"/>
    <s v="Q3"/>
    <n v="2"/>
    <x v="2"/>
    <x v="4"/>
    <x v="0"/>
    <x v="7"/>
    <s v="Chairs test"/>
    <x v="875"/>
    <n v="3"/>
    <n v="0.22"/>
    <n v="517.20000000000005"/>
    <n v="188.09999999999991"/>
    <s v="profit"/>
  </r>
  <r>
    <s v="b655aeae-7c01-4c1a-8bc1-7434fc519b11"/>
    <d v="2023-10-31T00:00:00"/>
    <d v="2023-11-07T00:00:00"/>
    <x v="1"/>
    <x v="5"/>
    <s v="Q4"/>
    <n v="7"/>
    <x v="1"/>
    <x v="6"/>
    <x v="1"/>
    <x v="4"/>
    <s v="Pens rather"/>
    <x v="876"/>
    <n v="10"/>
    <n v="0.02"/>
    <n v="420.62"/>
    <n v="54.420000000000016"/>
    <s v="profit"/>
  </r>
  <r>
    <s v="4cee6cfa-5da8-4ab2-9523-f2d0ffec0b3a"/>
    <d v="2024-05-10T00:00:00"/>
    <d v="2024-05-12T00:00:00"/>
    <x v="1"/>
    <x v="8"/>
    <s v="Q2"/>
    <n v="2"/>
    <x v="0"/>
    <x v="5"/>
    <x v="1"/>
    <x v="1"/>
    <s v="Paper social"/>
    <x v="877"/>
    <n v="7"/>
    <n v="0.28000000000000003"/>
    <n v="438.96"/>
    <n v="209.15000000000003"/>
    <s v="profit"/>
  </r>
  <r>
    <s v="ca057ecb-03be-4309-a9c6-df1d37d0a642"/>
    <m/>
    <d v="2023-01-02T00:00:00"/>
    <x v="0"/>
    <x v="0"/>
    <s v="Q1"/>
    <n v="44928"/>
    <x v="4"/>
    <x v="3"/>
    <x v="1"/>
    <x v="8"/>
    <s v="Binders manage"/>
    <x v="59"/>
    <n v="5"/>
    <n v="0.4"/>
    <n v="-12.34"/>
    <e v="#VALUE!"/>
    <s v="loss"/>
  </r>
  <r>
    <s v="a6504398-c218-44e1-9bc0-b4c54253de0a"/>
    <d v="2023-04-14T00:00:00"/>
    <d v="2023-04-16T00:00:00"/>
    <x v="2"/>
    <x v="1"/>
    <s v="Q2"/>
    <n v="2"/>
    <x v="3"/>
    <x v="1"/>
    <x v="2"/>
    <x v="5"/>
    <s v="Phones large"/>
    <x v="878"/>
    <n v="6"/>
    <n v="0.12"/>
    <n v="431.73"/>
    <n v="88.419999999999959"/>
    <s v="profit"/>
  </r>
  <r>
    <s v="7536e259-a290-4659-ac78-1a45cd800ecb"/>
    <d v="2024-02-20T00:00:00"/>
    <d v="2024-02-22T00:00:00"/>
    <x v="1"/>
    <x v="6"/>
    <s v="Q1"/>
    <n v="2"/>
    <x v="3"/>
    <x v="7"/>
    <x v="1"/>
    <x v="8"/>
    <s v="Binders senior"/>
    <x v="879"/>
    <n v="9"/>
    <n v="0.45"/>
    <n v="-7.61"/>
    <n v="42.71"/>
    <s v="loss"/>
  </r>
  <r>
    <s v="9db03257-15a3-4fc5-8c11-c76329d337bd"/>
    <d v="2024-07-25T00:00:00"/>
    <d v="2024-07-27T00:00:00"/>
    <x v="0"/>
    <x v="7"/>
    <s v="Q3"/>
    <n v="2"/>
    <x v="1"/>
    <x v="4"/>
    <x v="1"/>
    <x v="4"/>
    <s v="Pens buy"/>
    <x v="880"/>
    <n v="8"/>
    <n v="0.03"/>
    <n v="348.26"/>
    <n v="47.210000000000036"/>
    <s v="profit"/>
  </r>
  <r>
    <s v="49698610-fc79-4eb9-b26c-7b9168973243"/>
    <d v="2023-03-30T00:00:00"/>
    <d v="2023-04-02T00:00:00"/>
    <x v="0"/>
    <x v="1"/>
    <s v="Q2"/>
    <n v="3"/>
    <x v="1"/>
    <x v="1"/>
    <x v="1"/>
    <x v="4"/>
    <s v="Pens pass"/>
    <x v="881"/>
    <n v="1"/>
    <n v="0.24"/>
    <n v="254.27"/>
    <n v="109.50999999999996"/>
    <s v="profit"/>
  </r>
  <r>
    <s v="94e845f4-b3d4-440c-a9f8-ed41f4dfdcc4"/>
    <d v="2023-09-04T00:00:00"/>
    <d v="2023-09-04T00:00:00"/>
    <x v="1"/>
    <x v="11"/>
    <s v="Q4"/>
    <n v="0"/>
    <x v="2"/>
    <x v="4"/>
    <x v="1"/>
    <x v="8"/>
    <s v="Binders effort"/>
    <x v="882"/>
    <n v="9"/>
    <n v="0.19"/>
    <n v="491.13"/>
    <n v="134.26999999999998"/>
    <s v="profit"/>
  </r>
  <r>
    <s v="9a47d7f0-3f91-4283-9884-2eb4da8d3a12"/>
    <d v="2024-03-15T00:00:00"/>
    <d v="2024-03-22T00:00:00"/>
    <x v="1"/>
    <x v="10"/>
    <s v="Q2"/>
    <n v="7"/>
    <x v="3"/>
    <x v="5"/>
    <x v="1"/>
    <x v="1"/>
    <s v="Paper age"/>
    <x v="883"/>
    <n v="10"/>
    <n v="0.03"/>
    <n v="208.31"/>
    <n v="54.269999999999982"/>
    <s v="profit"/>
  </r>
  <r>
    <s v="26dcefcb-6d70-4b0e-a48c-d7b43d246cbd"/>
    <d v="2024-04-09T00:00:00"/>
    <d v="2024-04-18T00:00:00"/>
    <x v="0"/>
    <x v="1"/>
    <s v="Q2"/>
    <n v="9"/>
    <x v="2"/>
    <x v="3"/>
    <x v="0"/>
    <x v="3"/>
    <s v="Bookcases how"/>
    <x v="884"/>
    <n v="10"/>
    <n v="0"/>
    <n v="282.66000000000003"/>
    <n v="25.669999999999959"/>
    <s v="profit"/>
  </r>
  <r>
    <s v="855f359a-549f-4f45-b291-108632616861"/>
    <d v="2024-10-26T00:00:00"/>
    <d v="2024-10-28T00:00:00"/>
    <x v="0"/>
    <x v="4"/>
    <s v="Q4"/>
    <n v="2"/>
    <x v="1"/>
    <x v="1"/>
    <x v="0"/>
    <x v="3"/>
    <s v="Bookcases executive"/>
    <x v="885"/>
    <n v="6"/>
    <n v="0.19"/>
    <n v="200.03"/>
    <n v="91.02000000000001"/>
    <s v="profit"/>
  </r>
  <r>
    <s v="298117eb-d9df-4bfa-96c4-9a07ab4594e9"/>
    <d v="2023-05-26T00:00:00"/>
    <d v="2023-05-28T00:00:00"/>
    <x v="0"/>
    <x v="8"/>
    <s v="Q2"/>
    <n v="2"/>
    <x v="0"/>
    <x v="3"/>
    <x v="2"/>
    <x v="5"/>
    <s v="Phones blue"/>
    <x v="886"/>
    <n v="10"/>
    <n v="0.42"/>
    <n v="296.55"/>
    <n v="253.48999999999995"/>
    <s v="profit"/>
  </r>
  <r>
    <s v="3aab52e9-e8e0-476d-8652-a376ac4ed59d"/>
    <d v="2024-06-29T00:00:00"/>
    <d v="2024-07-07T00:00:00"/>
    <x v="1"/>
    <x v="7"/>
    <s v="Q3"/>
    <n v="8"/>
    <x v="2"/>
    <x v="6"/>
    <x v="2"/>
    <x v="6"/>
    <s v="Laptops exist"/>
    <x v="887"/>
    <n v="5"/>
    <n v="0.49"/>
    <n v="111.08"/>
    <n v="181.68"/>
    <s v="profit"/>
  </r>
  <r>
    <s v="ece75240-c353-42f6-9f9f-35b087c63781"/>
    <d v="2023-06-05T00:00:00"/>
    <d v="2023-06-09T00:00:00"/>
    <x v="0"/>
    <x v="3"/>
    <s v="Q3"/>
    <n v="4"/>
    <x v="0"/>
    <x v="4"/>
    <x v="0"/>
    <x v="0"/>
    <s v="Tables population"/>
    <x v="888"/>
    <n v="4"/>
    <n v="0.03"/>
    <n v="786.78"/>
    <n v="37.82000000000005"/>
    <s v="profit"/>
  </r>
  <r>
    <s v="dc88741c-0a4b-48ab-856d-cdecca569914"/>
    <d v="2023-05-31T00:00:00"/>
    <d v="2023-06-09T00:00:00"/>
    <x v="1"/>
    <x v="3"/>
    <s v="Q3"/>
    <n v="9"/>
    <x v="0"/>
    <x v="7"/>
    <x v="1"/>
    <x v="4"/>
    <s v="Pens represent"/>
    <x v="889"/>
    <n v="5"/>
    <n v="0.37"/>
    <n v="573.25"/>
    <n v="413.84000000000003"/>
    <s v="profit"/>
  </r>
  <r>
    <s v="e785b02c-3e08-4113-8cb6-2381909f7f82"/>
    <d v="2024-03-14T00:00:00"/>
    <d v="2024-03-14T00:00:00"/>
    <x v="1"/>
    <x v="10"/>
    <s v="Q2"/>
    <n v="0"/>
    <x v="0"/>
    <x v="5"/>
    <x v="1"/>
    <x v="4"/>
    <s v="Pens lot"/>
    <x v="890"/>
    <n v="7"/>
    <n v="0.2"/>
    <n v="126.61"/>
    <n v="87.470000000000013"/>
    <s v="profit"/>
  </r>
  <r>
    <s v="daa4c3b8-10d6-4da6-b3dd-e03540d393bc"/>
    <m/>
    <d v="2024-02-20T00:00:00"/>
    <x v="0"/>
    <x v="6"/>
    <s v="Q1"/>
    <n v="45342"/>
    <x v="4"/>
    <x v="7"/>
    <x v="0"/>
    <x v="0"/>
    <s v="Tables several"/>
    <x v="59"/>
    <n v="6"/>
    <n v="0.49"/>
    <n v="211.56"/>
    <e v="#VALUE!"/>
    <s v="profit"/>
  </r>
  <r>
    <s v="3bdc5fad-5fab-4165-8549-7d31e8ad5b51"/>
    <d v="2024-02-06T00:00:00"/>
    <d v="2024-02-11T00:00:00"/>
    <x v="2"/>
    <x v="6"/>
    <s v="Q1"/>
    <n v="5"/>
    <x v="1"/>
    <x v="4"/>
    <x v="0"/>
    <x v="7"/>
    <s v="Chairs significant"/>
    <x v="891"/>
    <n v="3"/>
    <n v="0.12"/>
    <n v="317.52999999999997"/>
    <n v="80.940000000000055"/>
    <s v="profit"/>
  </r>
  <r>
    <s v="bc0215dd-59d8-41a2-a054-2ebdd648e584"/>
    <d v="2024-01-31T00:00:00"/>
    <d v="2024-02-01T00:00:00"/>
    <x v="0"/>
    <x v="6"/>
    <s v="Q1"/>
    <n v="1"/>
    <x v="0"/>
    <x v="5"/>
    <x v="1"/>
    <x v="8"/>
    <s v="Binders concern"/>
    <x v="892"/>
    <n v="4"/>
    <n v="0.13"/>
    <n v="434.99"/>
    <n v="93.960000000000036"/>
    <s v="profit"/>
  </r>
  <r>
    <s v="0ab095e9-e1b3-4dc7-adc3-99b8f8c0ccc9"/>
    <d v="2024-05-15T00:00:00"/>
    <d v="2024-05-15T00:00:00"/>
    <x v="0"/>
    <x v="8"/>
    <s v="Q2"/>
    <n v="0"/>
    <x v="2"/>
    <x v="0"/>
    <x v="2"/>
    <x v="2"/>
    <s v="Accessories with"/>
    <x v="893"/>
    <n v="3"/>
    <n v="0.4"/>
    <n v="516.54"/>
    <n v="382.51"/>
    <s v="profit"/>
  </r>
  <r>
    <s v="7bc8b23c-6ac6-4316-b950-8f88a6aee6ad"/>
    <d v="2023-02-25T00:00:00"/>
    <d v="2023-02-26T00:00:00"/>
    <x v="0"/>
    <x v="6"/>
    <s v="Q1"/>
    <n v="1"/>
    <x v="2"/>
    <x v="1"/>
    <x v="0"/>
    <x v="3"/>
    <s v="Bookcases use"/>
    <x v="894"/>
    <n v="6"/>
    <n v="0.04"/>
    <n v="823.54"/>
    <n v="81.470000000000027"/>
    <s v="profit"/>
  </r>
  <r>
    <s v="2ca702a9-7a49-4e7c-bc28-7b5709c2eb14"/>
    <d v="2024-10-17T00:00:00"/>
    <d v="2024-10-18T00:00:00"/>
    <x v="1"/>
    <x v="4"/>
    <s v="Q4"/>
    <n v="1"/>
    <x v="1"/>
    <x v="4"/>
    <x v="0"/>
    <x v="0"/>
    <s v="Tables involve"/>
    <x v="895"/>
    <n v="6"/>
    <n v="0.46"/>
    <n v="469.62"/>
    <n v="480.15999999999997"/>
    <s v="profit"/>
  </r>
  <r>
    <s v="86976935-e7ea-4e58-acda-69de5138f08f"/>
    <d v="2023-11-13T00:00:00"/>
    <d v="2023-11-20T00:00:00"/>
    <x v="0"/>
    <x v="5"/>
    <s v="Q4"/>
    <n v="7"/>
    <x v="1"/>
    <x v="7"/>
    <x v="1"/>
    <x v="1"/>
    <s v="Paper deep"/>
    <x v="896"/>
    <n v="10"/>
    <n v="0.42"/>
    <n v="319.87"/>
    <n v="295.68999999999994"/>
    <s v="profit"/>
  </r>
  <r>
    <s v="2591d93d-c5b0-4940-af0e-f0b1f9329669"/>
    <d v="2024-02-20T00:00:00"/>
    <d v="2024-02-29T00:00:00"/>
    <x v="1"/>
    <x v="6"/>
    <s v="Q1"/>
    <n v="9"/>
    <x v="2"/>
    <x v="2"/>
    <x v="0"/>
    <x v="0"/>
    <s v="Tables number"/>
    <x v="897"/>
    <n v="8"/>
    <n v="0.17"/>
    <n v="70.2"/>
    <n v="32.649999999999991"/>
    <s v="profit"/>
  </r>
  <r>
    <s v="8705ab66-0caa-4673-9461-e54fa57603ef"/>
    <d v="2024-07-23T00:00:00"/>
    <d v="2024-07-25T00:00:00"/>
    <x v="0"/>
    <x v="7"/>
    <s v="Q3"/>
    <n v="2"/>
    <x v="2"/>
    <x v="0"/>
    <x v="2"/>
    <x v="2"/>
    <s v="Accessories evidence"/>
    <x v="898"/>
    <n v="5"/>
    <n v="0.48"/>
    <n v="15.48"/>
    <n v="100.55"/>
    <s v="profit"/>
  </r>
  <r>
    <s v="1b588a4c-366d-4d13-b910-5872db32976a"/>
    <m/>
    <d v="2024-07-12T00:00:00"/>
    <x v="0"/>
    <x v="7"/>
    <s v="Q3"/>
    <n v="45485"/>
    <x v="4"/>
    <x v="3"/>
    <x v="0"/>
    <x v="0"/>
    <s v="Tables Mrs"/>
    <x v="59"/>
    <n v="7"/>
    <n v="0.45"/>
    <n v="84.16"/>
    <e v="#VALUE!"/>
    <s v="profit"/>
  </r>
  <r>
    <s v="f68c0300-d376-4080-a806-e86d3327be11"/>
    <d v="2022-12-28T00:00:00"/>
    <d v="2023-01-02T00:00:00"/>
    <x v="2"/>
    <x v="0"/>
    <s v="Q1"/>
    <n v="5"/>
    <x v="2"/>
    <x v="0"/>
    <x v="1"/>
    <x v="8"/>
    <s v="Binders stay"/>
    <x v="899"/>
    <n v="5"/>
    <n v="0.21"/>
    <n v="272.58999999999997"/>
    <n v="92.56"/>
    <s v="profit"/>
  </r>
  <r>
    <s v="f2b1408a-278b-49bf-9e49-e5df881a252c"/>
    <d v="2024-05-27T00:00:00"/>
    <d v="2024-05-31T00:00:00"/>
    <x v="3"/>
    <x v="8"/>
    <s v="Q2"/>
    <n v="4"/>
    <x v="0"/>
    <x v="5"/>
    <x v="1"/>
    <x v="4"/>
    <s v="Pens summer"/>
    <x v="900"/>
    <n v="8"/>
    <n v="0.47"/>
    <n v="-11.24"/>
    <n v="72.099999999999994"/>
    <s v="loss"/>
  </r>
  <r>
    <s v="99f4a7ea-a04a-4a1c-a65c-9e0b9295867c"/>
    <d v="2024-07-08T00:00:00"/>
    <d v="2024-07-13T00:00:00"/>
    <x v="0"/>
    <x v="7"/>
    <s v="Q3"/>
    <n v="5"/>
    <x v="2"/>
    <x v="5"/>
    <x v="0"/>
    <x v="7"/>
    <s v="Chairs east"/>
    <x v="901"/>
    <n v="10"/>
    <n v="0.16"/>
    <n v="293.14"/>
    <n v="91.07"/>
    <s v="profit"/>
  </r>
  <r>
    <s v="276e0da4-0ca7-487a-9108-4be432c7a396"/>
    <d v="2023-04-22T00:00:00"/>
    <d v="2023-04-26T00:00:00"/>
    <x v="0"/>
    <x v="1"/>
    <s v="Q2"/>
    <n v="4"/>
    <x v="2"/>
    <x v="7"/>
    <x v="2"/>
    <x v="6"/>
    <s v="Laptops person"/>
    <x v="902"/>
    <n v="5"/>
    <n v="0.21"/>
    <n v="337.24"/>
    <n v="135.18"/>
    <s v="profit"/>
  </r>
  <r>
    <s v="87906424-0fac-4452-bb7c-152c8073b19a"/>
    <d v="2023-10-25T00:00:00"/>
    <d v="2023-10-30T00:00:00"/>
    <x v="1"/>
    <x v="4"/>
    <s v="Q4"/>
    <n v="5"/>
    <x v="2"/>
    <x v="3"/>
    <x v="2"/>
    <x v="6"/>
    <s v="Laptops child"/>
    <x v="903"/>
    <n v="2"/>
    <n v="0.2"/>
    <n v="548.79"/>
    <n v="164.62"/>
    <s v="profit"/>
  </r>
  <r>
    <s v="cca0b10e-1029-4ade-9027-d39bc2c63df7"/>
    <d v="2023-06-16T00:00:00"/>
    <d v="2023-06-18T00:00:00"/>
    <x v="1"/>
    <x v="3"/>
    <s v="Q3"/>
    <n v="2"/>
    <x v="3"/>
    <x v="6"/>
    <x v="0"/>
    <x v="7"/>
    <s v="Chairs year"/>
    <x v="904"/>
    <n v="4"/>
    <n v="0.14000000000000001"/>
    <n v="371.26"/>
    <n v="108.17000000000002"/>
    <s v="profit"/>
  </r>
  <r>
    <s v="cc1bbaba-fac4-466b-923f-2ae896dd87d8"/>
    <d v="2024-09-13T00:00:00"/>
    <d v="2024-09-14T00:00:00"/>
    <x v="1"/>
    <x v="11"/>
    <s v="Q4"/>
    <n v="1"/>
    <x v="0"/>
    <x v="5"/>
    <x v="0"/>
    <x v="3"/>
    <s v="Bookcases explain"/>
    <x v="905"/>
    <n v="2"/>
    <n v="0.03"/>
    <n v="14.42"/>
    <n v="35.76"/>
    <s v="profit"/>
  </r>
  <r>
    <s v="85f499ec-facc-4c0a-8ee0-d3bc395b111a"/>
    <d v="2024-01-16T00:00:00"/>
    <d v="2024-01-19T00:00:00"/>
    <x v="0"/>
    <x v="0"/>
    <s v="Q1"/>
    <n v="3"/>
    <x v="3"/>
    <x v="2"/>
    <x v="2"/>
    <x v="6"/>
    <s v="Laptops executive"/>
    <x v="906"/>
    <n v="6"/>
    <n v="0.22"/>
    <n v="394.87"/>
    <n v="139.82000000000005"/>
    <s v="profit"/>
  </r>
  <r>
    <s v="346746da-443b-455d-95ce-2aac286de35f"/>
    <d v="2024-10-24T00:00:00"/>
    <d v="2024-10-26T00:00:00"/>
    <x v="0"/>
    <x v="4"/>
    <s v="Q4"/>
    <n v="2"/>
    <x v="3"/>
    <x v="3"/>
    <x v="0"/>
    <x v="7"/>
    <s v="Chairs music"/>
    <x v="907"/>
    <n v="4"/>
    <n v="0.45"/>
    <n v="285.77999999999997"/>
    <n v="313.52"/>
    <s v="profit"/>
  </r>
  <r>
    <s v="4aa06802-ff64-4176-9226-01dc31c89f18"/>
    <d v="2024-03-29T00:00:00"/>
    <d v="2024-04-03T00:00:00"/>
    <x v="0"/>
    <x v="1"/>
    <s v="Q2"/>
    <n v="5"/>
    <x v="1"/>
    <x v="5"/>
    <x v="2"/>
    <x v="5"/>
    <s v="Phones nice"/>
    <x v="908"/>
    <n v="4"/>
    <n v="0.32"/>
    <n v="231.93"/>
    <n v="146.64999999999998"/>
    <s v="profit"/>
  </r>
  <r>
    <s v="59d21c1f-9044-4549-bd53-494886106754"/>
    <d v="2024-10-21T00:00:00"/>
    <d v="2024-10-24T00:00:00"/>
    <x v="0"/>
    <x v="4"/>
    <s v="Q4"/>
    <n v="3"/>
    <x v="1"/>
    <x v="0"/>
    <x v="2"/>
    <x v="6"/>
    <s v="Laptops two"/>
    <x v="909"/>
    <n v="10"/>
    <n v="0.15"/>
    <n v="803.72"/>
    <n v="175.66999999999996"/>
    <s v="profit"/>
  </r>
  <r>
    <s v="311ff53d-306a-4315-9c97-a1ae598a81e2"/>
    <d v="2024-06-08T00:00:00"/>
    <d v="2024-06-13T00:00:00"/>
    <x v="0"/>
    <x v="3"/>
    <s v="Q3"/>
    <n v="5"/>
    <x v="0"/>
    <x v="1"/>
    <x v="0"/>
    <x v="3"/>
    <s v="Bookcases third"/>
    <x v="910"/>
    <n v="1"/>
    <n v="0.09"/>
    <n v="809.26"/>
    <n v="123.86000000000001"/>
    <s v="profit"/>
  </r>
  <r>
    <s v="5370bbd9-bb9b-4a57-bbba-a8be8d5dbb78"/>
    <d v="2023-06-23T00:00:00"/>
    <d v="2023-06-26T00:00:00"/>
    <x v="0"/>
    <x v="3"/>
    <s v="Q3"/>
    <n v="3"/>
    <x v="3"/>
    <x v="5"/>
    <x v="2"/>
    <x v="2"/>
    <s v="Accessories foreign"/>
    <x v="911"/>
    <n v="8"/>
    <n v="0.43"/>
    <n v="360.51"/>
    <n v="320.65999999999997"/>
    <s v="profit"/>
  </r>
  <r>
    <s v="0dbaea8d-70c6-4bfe-941b-c97e6d9c2b07"/>
    <d v="2023-07-12T00:00:00"/>
    <d v="2023-07-19T00:00:00"/>
    <x v="1"/>
    <x v="7"/>
    <s v="Q3"/>
    <n v="7"/>
    <x v="1"/>
    <x v="5"/>
    <x v="2"/>
    <x v="6"/>
    <s v="Laptops dog"/>
    <x v="912"/>
    <n v="5"/>
    <n v="0.12"/>
    <n v="575.78"/>
    <n v="92.790000000000077"/>
    <s v="profit"/>
  </r>
  <r>
    <s v="b470683e-e230-4536-b73e-b6ea0fb7303d"/>
    <d v="2023-06-16T00:00:00"/>
    <d v="2023-06-17T00:00:00"/>
    <x v="1"/>
    <x v="3"/>
    <s v="Q3"/>
    <n v="1"/>
    <x v="2"/>
    <x v="1"/>
    <x v="0"/>
    <x v="0"/>
    <s v="Tables second"/>
    <x v="913"/>
    <n v="3"/>
    <n v="0.31"/>
    <n v="38.85"/>
    <n v="52.32"/>
    <s v="profit"/>
  </r>
  <r>
    <s v="faf8aa6e-e740-45a3-b54a-4739ea846c74"/>
    <d v="2024-04-07T00:00:00"/>
    <d v="2024-04-15T00:00:00"/>
    <x v="1"/>
    <x v="1"/>
    <s v="Q2"/>
    <n v="8"/>
    <x v="0"/>
    <x v="3"/>
    <x v="0"/>
    <x v="7"/>
    <s v="Chairs forward"/>
    <x v="914"/>
    <n v="10"/>
    <n v="0.28000000000000003"/>
    <n v="405.21"/>
    <n v="198.48000000000008"/>
    <s v="profit"/>
  </r>
  <r>
    <s v="63780ae4-7b39-4812-a465-0ad130d8bd40"/>
    <d v="2024-12-03T00:00:00"/>
    <d v="2024-12-12T00:00:00"/>
    <x v="0"/>
    <x v="9"/>
    <s v="Q4"/>
    <n v="9"/>
    <x v="1"/>
    <x v="2"/>
    <x v="0"/>
    <x v="0"/>
    <s v="Tables as"/>
    <x v="620"/>
    <n v="8"/>
    <n v="0.36"/>
    <n v="332.44"/>
    <n v="261.09999999999997"/>
    <s v="profit"/>
  </r>
  <r>
    <s v="faf40521-6014-487d-bb25-70c9fa9f36da"/>
    <d v="2023-08-08T00:00:00"/>
    <d v="2023-08-13T00:00:00"/>
    <x v="0"/>
    <x v="2"/>
    <s v="Q3"/>
    <n v="5"/>
    <x v="2"/>
    <x v="5"/>
    <x v="2"/>
    <x v="2"/>
    <s v="Accessories worker"/>
    <x v="915"/>
    <n v="9"/>
    <n v="0.25"/>
    <n v="729.51"/>
    <n v="259.71000000000004"/>
    <s v="profit"/>
  </r>
  <r>
    <s v="40ef2609-c4d2-400f-b67d-2e1cf766e53e"/>
    <d v="2024-05-28T00:00:00"/>
    <d v="2024-06-04T00:00:00"/>
    <x v="1"/>
    <x v="3"/>
    <s v="Q3"/>
    <n v="7"/>
    <x v="3"/>
    <x v="0"/>
    <x v="2"/>
    <x v="6"/>
    <s v="Laptops beat"/>
    <x v="916"/>
    <n v="2"/>
    <n v="0.09"/>
    <n v="692.08"/>
    <n v="88.779999999999973"/>
    <s v="profit"/>
  </r>
  <r>
    <s v="46600aac-0e98-4a1e-9033-332a4520ffe4"/>
    <d v="2022-12-23T00:00:00"/>
    <d v="2022-12-31T00:00:00"/>
    <x v="0"/>
    <x v="9"/>
    <s v="Q4"/>
    <n v="8"/>
    <x v="0"/>
    <x v="4"/>
    <x v="0"/>
    <x v="3"/>
    <s v="Bookcases safe"/>
    <x v="917"/>
    <n v="9"/>
    <n v="0.31"/>
    <n v="466.17"/>
    <n v="263.32"/>
    <s v="profit"/>
  </r>
  <r>
    <s v="b41f5523-d6e8-47e3-a293-bf5455d822d3"/>
    <d v="2024-07-01T00:00:00"/>
    <d v="2024-07-07T00:00:00"/>
    <x v="3"/>
    <x v="7"/>
    <s v="Q3"/>
    <n v="6"/>
    <x v="0"/>
    <x v="3"/>
    <x v="1"/>
    <x v="1"/>
    <s v="Paper police"/>
    <x v="918"/>
    <n v="5"/>
    <n v="0.4"/>
    <n v="511.28"/>
    <n v="389.85"/>
    <s v="profit"/>
  </r>
  <r>
    <s v="54a00c1a-3b7d-4e15-af99-a4ef8fcbdd0a"/>
    <d v="2024-07-28T00:00:00"/>
    <d v="2024-08-03T00:00:00"/>
    <x v="0"/>
    <x v="2"/>
    <s v="Q3"/>
    <n v="6"/>
    <x v="0"/>
    <x v="4"/>
    <x v="1"/>
    <x v="4"/>
    <s v="Pens cost"/>
    <x v="919"/>
    <n v="6"/>
    <n v="0.14000000000000001"/>
    <n v="572.20000000000005"/>
    <n v="113.93999999999994"/>
    <s v="profit"/>
  </r>
  <r>
    <s v="97a13fc2-b5b4-40bd-8036-e0b6636ca7a0"/>
    <d v="2023-09-27T00:00:00"/>
    <d v="2023-10-03T00:00:00"/>
    <x v="0"/>
    <x v="4"/>
    <s v="Q4"/>
    <n v="6"/>
    <x v="2"/>
    <x v="6"/>
    <x v="0"/>
    <x v="7"/>
    <s v="Chairs carry"/>
    <x v="920"/>
    <n v="6"/>
    <n v="0.32"/>
    <n v="390.35"/>
    <n v="236.70999999999992"/>
    <s v="profit"/>
  </r>
  <r>
    <s v="f21f6276-49ae-43a2-9904-3e72cbf61024"/>
    <d v="2023-11-14T00:00:00"/>
    <d v="2023-11-23T00:00:00"/>
    <x v="1"/>
    <x v="5"/>
    <s v="Q4"/>
    <n v="9"/>
    <x v="1"/>
    <x v="1"/>
    <x v="0"/>
    <x v="3"/>
    <s v="Bookcases outside"/>
    <x v="921"/>
    <n v="5"/>
    <n v="0.01"/>
    <n v="145.94"/>
    <n v="33.580000000000013"/>
    <s v="profit"/>
  </r>
  <r>
    <s v="0f854262-10c6-4e84-9e01-6ab723cf942f"/>
    <d v="2024-02-04T00:00:00"/>
    <d v="2024-02-09T00:00:00"/>
    <x v="1"/>
    <x v="6"/>
    <s v="Q1"/>
    <n v="5"/>
    <x v="0"/>
    <x v="6"/>
    <x v="1"/>
    <x v="1"/>
    <s v="Paper human"/>
    <x v="922"/>
    <n v="2"/>
    <n v="0.18"/>
    <n v="705.5"/>
    <n v="177.69000000000005"/>
    <s v="profit"/>
  </r>
  <r>
    <s v="9fc20946-0b9f-4eb8-908c-a582f582f0d4"/>
    <m/>
    <d v="2023-10-11T00:00:00"/>
    <x v="0"/>
    <x v="4"/>
    <s v="Q4"/>
    <n v="45210"/>
    <x v="4"/>
    <x v="2"/>
    <x v="0"/>
    <x v="0"/>
    <s v="Tables drug"/>
    <x v="59"/>
    <n v="3"/>
    <n v="0.41"/>
    <n v="496.95"/>
    <e v="#VALUE!"/>
    <s v="profit"/>
  </r>
  <r>
    <s v="463a7188-505a-4a66-8b21-6ec0b0961f9a"/>
    <m/>
    <d v="2023-12-13T00:00:00"/>
    <x v="2"/>
    <x v="9"/>
    <s v="Q4"/>
    <n v="45273"/>
    <x v="4"/>
    <x v="6"/>
    <x v="1"/>
    <x v="4"/>
    <s v="Pens situation"/>
    <x v="59"/>
    <n v="1"/>
    <n v="0.14000000000000001"/>
    <n v="725.49"/>
    <e v="#VALUE!"/>
    <s v="profit"/>
  </r>
  <r>
    <s v="ed97987b-90a7-43fa-b248-6b97ea482a82"/>
    <d v="2023-08-11T00:00:00"/>
    <d v="2023-08-19T00:00:00"/>
    <x v="2"/>
    <x v="2"/>
    <s v="Q3"/>
    <n v="8"/>
    <x v="2"/>
    <x v="4"/>
    <x v="1"/>
    <x v="8"/>
    <s v="Binders myself"/>
    <x v="923"/>
    <n v="10"/>
    <n v="0.03"/>
    <n v="-8.23"/>
    <n v="47.81"/>
    <s v="loss"/>
  </r>
  <r>
    <s v="b9880c9a-6c2a-4d4e-a143-12846dfc4df7"/>
    <d v="2023-11-01T00:00:00"/>
    <d v="2023-11-06T00:00:00"/>
    <x v="1"/>
    <x v="5"/>
    <s v="Q4"/>
    <n v="5"/>
    <x v="3"/>
    <x v="3"/>
    <x v="1"/>
    <x v="4"/>
    <s v="Pens work"/>
    <x v="924"/>
    <n v="9"/>
    <n v="0.39"/>
    <n v="74.790000000000006"/>
    <n v="129.45999999999998"/>
    <s v="profit"/>
  </r>
  <r>
    <s v="6fcbe961-d621-45af-890f-55bd82dd0fea"/>
    <d v="2022-12-16T00:00:00"/>
    <d v="2022-12-19T00:00:00"/>
    <x v="1"/>
    <x v="9"/>
    <s v="Q4"/>
    <n v="3"/>
    <x v="2"/>
    <x v="3"/>
    <x v="2"/>
    <x v="6"/>
    <s v="Laptops it"/>
    <x v="925"/>
    <n v="6"/>
    <n v="0.16"/>
    <n v="810.18"/>
    <n v="171.10000000000002"/>
    <s v="profit"/>
  </r>
  <r>
    <s v="68b7bd3c-7fc2-4e96-b068-46a3fa0954fb"/>
    <d v="2022-12-11T00:00:00"/>
    <d v="2022-12-11T00:00:00"/>
    <x v="3"/>
    <x v="9"/>
    <s v="Q4"/>
    <n v="0"/>
    <x v="3"/>
    <x v="6"/>
    <x v="1"/>
    <x v="4"/>
    <s v="Pens hair"/>
    <x v="926"/>
    <n v="10"/>
    <n v="0.04"/>
    <n v="436.86"/>
    <n v="49.639999999999986"/>
    <s v="profit"/>
  </r>
  <r>
    <s v="ce448e9a-7209-491b-9446-5ddd6f56e894"/>
    <d v="2023-05-07T00:00:00"/>
    <d v="2023-05-08T00:00:00"/>
    <x v="3"/>
    <x v="8"/>
    <s v="Q2"/>
    <n v="1"/>
    <x v="2"/>
    <x v="1"/>
    <x v="1"/>
    <x v="4"/>
    <s v="Pens far"/>
    <x v="927"/>
    <n v="9"/>
    <n v="0.49"/>
    <n v="93.33"/>
    <n v="126.04"/>
    <s v="profit"/>
  </r>
  <r>
    <s v="08776bd5-fea3-4c31-be72-df3c6ebcf08e"/>
    <d v="2022-12-25T00:00:00"/>
    <d v="2022-12-30T00:00:00"/>
    <x v="1"/>
    <x v="9"/>
    <s v="Q4"/>
    <n v="5"/>
    <x v="3"/>
    <x v="0"/>
    <x v="0"/>
    <x v="3"/>
    <s v="Bookcases dinner"/>
    <x v="928"/>
    <n v="7"/>
    <n v="0.43"/>
    <n v="396.78"/>
    <n v="346.20000000000005"/>
    <s v="profit"/>
  </r>
  <r>
    <s v="de7ed439-1cb8-4e62-94a0-0b4e30cc481c"/>
    <d v="2023-10-01T00:00:00"/>
    <d v="2023-10-05T00:00:00"/>
    <x v="3"/>
    <x v="4"/>
    <s v="Q4"/>
    <n v="4"/>
    <x v="3"/>
    <x v="7"/>
    <x v="0"/>
    <x v="0"/>
    <s v="Tables already"/>
    <x v="929"/>
    <n v="9"/>
    <n v="0.48"/>
    <n v="99.5"/>
    <n v="117.49000000000001"/>
    <s v="profit"/>
  </r>
  <r>
    <s v="b65c6dce-55cb-45cb-a677-0affa6daf6c6"/>
    <d v="2023-03-07T00:00:00"/>
    <d v="2023-03-08T00:00:00"/>
    <x v="1"/>
    <x v="10"/>
    <s v="Q2"/>
    <n v="1"/>
    <x v="3"/>
    <x v="0"/>
    <x v="1"/>
    <x v="8"/>
    <s v="Binders news"/>
    <x v="930"/>
    <n v="3"/>
    <n v="0.06"/>
    <n v="682.4"/>
    <n v="88.850000000000023"/>
    <s v="profit"/>
  </r>
  <r>
    <s v="b39437da-1331-4c64-8b62-968821962358"/>
    <d v="2024-06-09T00:00:00"/>
    <d v="2024-06-14T00:00:00"/>
    <x v="1"/>
    <x v="3"/>
    <s v="Q3"/>
    <n v="5"/>
    <x v="3"/>
    <x v="1"/>
    <x v="1"/>
    <x v="4"/>
    <s v="Pens throughout"/>
    <x v="931"/>
    <n v="10"/>
    <n v="0.31"/>
    <n v="426.57"/>
    <n v="250.91000000000003"/>
    <s v="profit"/>
  </r>
  <r>
    <s v="a58f9c27-bb34-4a96-877c-f38c594f8c76"/>
    <d v="2024-05-23T00:00:00"/>
    <d v="2024-05-28T00:00:00"/>
    <x v="0"/>
    <x v="8"/>
    <s v="Q2"/>
    <n v="5"/>
    <x v="1"/>
    <x v="0"/>
    <x v="1"/>
    <x v="8"/>
    <s v="Binders away"/>
    <x v="932"/>
    <s v="Null"/>
    <n v="0.19"/>
    <n v="689.25"/>
    <n v="214.39"/>
    <s v="profit"/>
  </r>
  <r>
    <s v="7b38437d-8e52-4f8c-8bea-ea2a76f8e328"/>
    <d v="2024-07-27T00:00:00"/>
    <d v="2024-07-27T00:00:00"/>
    <x v="0"/>
    <x v="7"/>
    <s v="Q3"/>
    <n v="0"/>
    <x v="2"/>
    <x v="2"/>
    <x v="0"/>
    <x v="7"/>
    <s v="Chairs common"/>
    <x v="933"/>
    <n v="3"/>
    <n v="0.43"/>
    <n v="310.89999999999998"/>
    <n v="284.08000000000004"/>
    <s v="profit"/>
  </r>
  <r>
    <s v="2a9c0a40-1203-4d2c-b3d2-d9df01ce752e"/>
    <m/>
    <d v="2023-12-15T00:00:00"/>
    <x v="0"/>
    <x v="9"/>
    <s v="Q4"/>
    <n v="45275"/>
    <x v="4"/>
    <x v="4"/>
    <x v="1"/>
    <x v="8"/>
    <s v="Binders ask"/>
    <x v="59"/>
    <n v="4"/>
    <n v="0.21"/>
    <n v="536.54"/>
    <e v="#VALUE!"/>
    <s v="profit"/>
  </r>
  <r>
    <s v="7d191359-807e-408e-978d-cac77c86928e"/>
    <d v="2023-07-08T00:00:00"/>
    <d v="2023-07-13T00:00:00"/>
    <x v="2"/>
    <x v="7"/>
    <s v="Q3"/>
    <n v="5"/>
    <x v="2"/>
    <x v="0"/>
    <x v="0"/>
    <x v="7"/>
    <s v="Chairs pull"/>
    <x v="934"/>
    <n v="4"/>
    <n v="0.2"/>
    <n v="199.01"/>
    <n v="97.860000000000014"/>
    <s v="profit"/>
  </r>
  <r>
    <s v="fbe54f84-850a-4c44-a148-3f40f94210e1"/>
    <d v="2023-10-22T00:00:00"/>
    <d v="2023-10-27T00:00:00"/>
    <x v="1"/>
    <x v="4"/>
    <s v="Q4"/>
    <n v="5"/>
    <x v="0"/>
    <x v="7"/>
    <x v="2"/>
    <x v="5"/>
    <s v="Phones actually"/>
    <x v="935"/>
    <n v="8"/>
    <n v="0.47"/>
    <n v="-2"/>
    <n v="66.03"/>
    <s v="loss"/>
  </r>
  <r>
    <s v="5520ae1d-3834-49e8-9bc4-4ca52cdc9ba3"/>
    <d v="2024-07-10T00:00:00"/>
    <d v="2024-07-14T00:00:00"/>
    <x v="1"/>
    <x v="7"/>
    <s v="Q3"/>
    <n v="4"/>
    <x v="0"/>
    <x v="6"/>
    <x v="2"/>
    <x v="5"/>
    <s v="Phones agree"/>
    <x v="936"/>
    <n v="6"/>
    <n v="0.36"/>
    <n v="172.31"/>
    <n v="167.61"/>
    <s v="profit"/>
  </r>
  <r>
    <s v="232b7969-dba2-4c6f-b67f-215faf71cfa7"/>
    <d v="2022-12-13T00:00:00"/>
    <d v="2022-12-22T00:00:00"/>
    <x v="0"/>
    <x v="9"/>
    <s v="Q4"/>
    <n v="9"/>
    <x v="3"/>
    <x v="0"/>
    <x v="1"/>
    <x v="1"/>
    <s v="Paper time"/>
    <x v="937"/>
    <n v="3"/>
    <n v="0.04"/>
    <n v="648.73"/>
    <n v="55.370000000000005"/>
    <s v="profit"/>
  </r>
  <r>
    <s v="aa94555b-d6f8-439a-abb2-817ae7d0ee73"/>
    <d v="2024-04-19T00:00:00"/>
    <d v="2024-04-24T00:00:00"/>
    <x v="3"/>
    <x v="1"/>
    <s v="Q2"/>
    <n v="5"/>
    <x v="3"/>
    <x v="1"/>
    <x v="1"/>
    <x v="8"/>
    <s v="Binders structure"/>
    <x v="938"/>
    <n v="2"/>
    <n v="0.24"/>
    <n v="384.32"/>
    <n v="170.78000000000003"/>
    <s v="profit"/>
  </r>
  <r>
    <s v="4ccbaae2-3b93-4367-a29b-2204bec602f1"/>
    <d v="2024-05-24T00:00:00"/>
    <d v="2024-06-02T00:00:00"/>
    <x v="0"/>
    <x v="3"/>
    <s v="Q3"/>
    <n v="9"/>
    <x v="2"/>
    <x v="1"/>
    <x v="0"/>
    <x v="7"/>
    <s v="Chairs baby"/>
    <x v="939"/>
    <n v="5"/>
    <n v="0"/>
    <n v="444.37"/>
    <n v="36.279999999999973"/>
    <s v="profit"/>
  </r>
  <r>
    <s v="beab0eb2-c588-4c6d-ad04-8560223a1749"/>
    <d v="2024-04-22T00:00:00"/>
    <d v="2024-04-25T00:00:00"/>
    <x v="0"/>
    <x v="1"/>
    <s v="Q2"/>
    <n v="3"/>
    <x v="0"/>
    <x v="3"/>
    <x v="1"/>
    <x v="1"/>
    <s v="Paper center"/>
    <x v="940"/>
    <n v="4"/>
    <n v="0.11"/>
    <n v="417.82"/>
    <n v="101.69"/>
    <s v="profit"/>
  </r>
  <r>
    <s v="c7d1462b-caa2-4f6d-8577-8591ec371e67"/>
    <d v="2024-10-30T00:00:00"/>
    <d v="2024-11-08T00:00:00"/>
    <x v="0"/>
    <x v="5"/>
    <s v="Q4"/>
    <n v="9"/>
    <x v="1"/>
    <x v="1"/>
    <x v="1"/>
    <x v="8"/>
    <s v="Binders office"/>
    <x v="941"/>
    <n v="4"/>
    <n v="0.48"/>
    <n v="0.83"/>
    <n v="90.26"/>
    <s v="profit"/>
  </r>
  <r>
    <s v="61fb434c-71b0-4d77-b165-bc694aebbd8d"/>
    <d v="2023-01-13T00:00:00"/>
    <d v="2023-01-17T00:00:00"/>
    <x v="0"/>
    <x v="0"/>
    <s v="Q1"/>
    <n v="4"/>
    <x v="1"/>
    <x v="7"/>
    <x v="1"/>
    <x v="1"/>
    <s v="Paper interest"/>
    <x v="942"/>
    <n v="4"/>
    <n v="0.43"/>
    <n v="74.09"/>
    <n v="129.07999999999998"/>
    <s v="profit"/>
  </r>
  <r>
    <s v="57287db7-5778-4288-b63d-4d0131efc892"/>
    <d v="2024-11-09T00:00:00"/>
    <d v="2024-11-17T00:00:00"/>
    <x v="1"/>
    <x v="5"/>
    <s v="Q4"/>
    <n v="8"/>
    <x v="0"/>
    <x v="2"/>
    <x v="0"/>
    <x v="0"/>
    <s v="Tables inside"/>
    <x v="943"/>
    <n v="6"/>
    <n v="0.27"/>
    <n v="125.25"/>
    <n v="75.87"/>
    <s v="profit"/>
  </r>
  <r>
    <s v="ac8f0b01-868b-442f-948f-d27d20513534"/>
    <d v="2023-02-02T00:00:00"/>
    <d v="2023-02-11T00:00:00"/>
    <x v="0"/>
    <x v="6"/>
    <s v="Q1"/>
    <n v="9"/>
    <x v="2"/>
    <x v="6"/>
    <x v="1"/>
    <x v="4"/>
    <s v="Pens north"/>
    <x v="944"/>
    <n v="6"/>
    <n v="0.08"/>
    <n v="674.71"/>
    <n v="98.75"/>
    <s v="profit"/>
  </r>
  <r>
    <s v="f258858d-5461-480c-ab95-678b524a454d"/>
    <d v="2023-06-04T00:00:00"/>
    <d v="2023-06-13T00:00:00"/>
    <x v="1"/>
    <x v="3"/>
    <s v="Q3"/>
    <n v="9"/>
    <x v="2"/>
    <x v="4"/>
    <x v="1"/>
    <x v="8"/>
    <s v="Binders total"/>
    <x v="945"/>
    <n v="4"/>
    <n v="0.1"/>
    <n v="319.91000000000003"/>
    <n v="56.399999999999977"/>
    <s v="profit"/>
  </r>
  <r>
    <s v="d4c3a864-0517-4b3a-aceb-75f99cb29e2f"/>
    <d v="2024-05-14T00:00:00"/>
    <d v="2024-05-23T00:00:00"/>
    <x v="1"/>
    <x v="8"/>
    <s v="Q2"/>
    <n v="9"/>
    <x v="1"/>
    <x v="5"/>
    <x v="1"/>
    <x v="8"/>
    <s v="Binders economy"/>
    <x v="946"/>
    <n v="9"/>
    <n v="0.16"/>
    <n v="445.74"/>
    <n v="141.26"/>
    <s v="profit"/>
  </r>
  <r>
    <s v="5aa68c07-345e-43d4-9929-e14fd28be956"/>
    <m/>
    <d v="2024-11-07T00:00:00"/>
    <x v="0"/>
    <x v="5"/>
    <s v="Q4"/>
    <n v="45603"/>
    <x v="4"/>
    <x v="2"/>
    <x v="0"/>
    <x v="7"/>
    <s v="Chairs discover"/>
    <x v="59"/>
    <n v="4"/>
    <n v="0.46"/>
    <n v="482.52"/>
    <e v="#VALUE!"/>
    <s v="profit"/>
  </r>
  <r>
    <s v="c95950ca-20a8-4b7a-aca5-51d9573073e8"/>
    <m/>
    <d v="2023-11-11T00:00:00"/>
    <x v="2"/>
    <x v="5"/>
    <s v="Q4"/>
    <n v="45241"/>
    <x v="4"/>
    <x v="4"/>
    <x v="1"/>
    <x v="8"/>
    <s v="Binders realize"/>
    <x v="59"/>
    <n v="10"/>
    <n v="0.45"/>
    <n v="506.73"/>
    <e v="#VALUE!"/>
    <s v="profit"/>
  </r>
  <r>
    <s v="3b9a8021-d20f-4a49-a947-f856a4ad1ec3"/>
    <m/>
    <d v="2023-12-02T00:00:00"/>
    <x v="2"/>
    <x v="9"/>
    <s v="Q4"/>
    <n v="45262"/>
    <x v="4"/>
    <x v="4"/>
    <x v="1"/>
    <x v="1"/>
    <s v="Paper mission"/>
    <x v="59"/>
    <n v="3"/>
    <n v="0.44"/>
    <n v="156.16999999999999"/>
    <e v="#VALUE!"/>
    <s v="profit"/>
  </r>
  <r>
    <s v="0641f476-d4df-46b8-be26-3ce3c005cf28"/>
    <m/>
    <d v="2023-06-18T00:00:00"/>
    <x v="2"/>
    <x v="3"/>
    <s v="Q3"/>
    <n v="45095"/>
    <x v="4"/>
    <x v="2"/>
    <x v="1"/>
    <x v="4"/>
    <s v="Pens situation"/>
    <x v="59"/>
    <n v="6"/>
    <n v="0.48"/>
    <n v="33.1"/>
    <e v="#VALUE!"/>
    <s v="profit"/>
  </r>
  <r>
    <s v="e4b23c5b-cc44-4273-93ba-21c8322d8af7"/>
    <m/>
    <d v="2024-05-25T00:00:00"/>
    <x v="2"/>
    <x v="8"/>
    <s v="Q2"/>
    <n v="45437"/>
    <x v="4"/>
    <x v="7"/>
    <x v="2"/>
    <x v="6"/>
    <s v="Laptops my"/>
    <x v="59"/>
    <n v="7"/>
    <n v="0.03"/>
    <n v="17.55"/>
    <e v="#VALUE!"/>
    <s v="profit"/>
  </r>
  <r>
    <s v="2f43f285-d7f3-4b57-b3b2-d533ee15136b"/>
    <m/>
    <d v="2024-05-07T00:00:00"/>
    <x v="2"/>
    <x v="8"/>
    <s v="Q2"/>
    <n v="45419"/>
    <x v="4"/>
    <x v="0"/>
    <x v="0"/>
    <x v="7"/>
    <s v="Chairs develop"/>
    <x v="59"/>
    <n v="9"/>
    <n v="7.0000000000000007E-2"/>
    <n v="825.26"/>
    <e v="#VALUE!"/>
    <s v="profit"/>
  </r>
  <r>
    <s v="d3826c22-5173-40e9-b3ba-283d13e15b25"/>
    <m/>
    <d v="2023-03-18T00:00:00"/>
    <x v="2"/>
    <x v="10"/>
    <s v="Q2"/>
    <n v="45003"/>
    <x v="4"/>
    <x v="0"/>
    <x v="0"/>
    <x v="7"/>
    <s v="Chairs law"/>
    <x v="59"/>
    <n v="8"/>
    <n v="0.43"/>
    <n v="28.39"/>
    <e v="#VALUE!"/>
    <s v="profit"/>
  </r>
  <r>
    <s v="43f4eb95-5548-4581-9841-368479e69388"/>
    <m/>
    <d v="2023-10-31T00:00:00"/>
    <x v="2"/>
    <x v="4"/>
    <s v="Q4"/>
    <n v="45230"/>
    <x v="4"/>
    <x v="0"/>
    <x v="0"/>
    <x v="0"/>
    <s v="Tables whole"/>
    <x v="59"/>
    <n v="10"/>
    <n v="0.44"/>
    <n v="268.98"/>
    <e v="#VALUE!"/>
    <s v="profit"/>
  </r>
  <r>
    <s v="986d3810-3564-4604-a1f1-74d9ef4b745d"/>
    <m/>
    <d v="2023-06-15T00:00:00"/>
    <x v="2"/>
    <x v="3"/>
    <s v="Q3"/>
    <n v="45092"/>
    <x v="4"/>
    <x v="4"/>
    <x v="1"/>
    <x v="8"/>
    <s v="Binders light"/>
    <x v="59"/>
    <n v="6"/>
    <n v="0.14000000000000001"/>
    <n v="698.44"/>
    <e v="#VALUE!"/>
    <s v="profit"/>
  </r>
  <r>
    <s v="ef2845d7-827a-441a-bab6-6d123450d496"/>
    <m/>
    <d v="2024-10-15T00:00:00"/>
    <x v="2"/>
    <x v="4"/>
    <s v="Q4"/>
    <n v="45580"/>
    <x v="4"/>
    <x v="0"/>
    <x v="2"/>
    <x v="2"/>
    <s v="Accessories drug"/>
    <x v="59"/>
    <n v="9"/>
    <n v="0.31"/>
    <n v="449.51"/>
    <e v="#VALUE!"/>
    <s v="profit"/>
  </r>
  <r>
    <s v="0641f476-d4df-46b8-be26-3ce3c005cf28"/>
    <m/>
    <d v="2023-06-18T00:00:00"/>
    <x v="2"/>
    <x v="3"/>
    <s v="Q3"/>
    <n v="45095"/>
    <x v="4"/>
    <x v="2"/>
    <x v="1"/>
    <x v="4"/>
    <s v="Pens situation"/>
    <x v="59"/>
    <n v="6"/>
    <n v="0.48"/>
    <n v="33.1"/>
    <e v="#VALUE!"/>
    <s v="profit"/>
  </r>
  <r>
    <s v="43f4eb95-5548-4581-9841-368479e69388"/>
    <m/>
    <d v="2023-10-31T00:00:00"/>
    <x v="2"/>
    <x v="4"/>
    <s v="Q4"/>
    <n v="45230"/>
    <x v="4"/>
    <x v="0"/>
    <x v="0"/>
    <x v="0"/>
    <s v="Tables whole"/>
    <x v="59"/>
    <n v="10"/>
    <n v="0.44"/>
    <n v="268.98"/>
    <e v="#VALUE!"/>
    <s v="profit"/>
  </r>
  <r>
    <s v="986d3810-3564-4604-a1f1-74d9ef4b745d"/>
    <m/>
    <d v="2023-06-15T00:00:00"/>
    <x v="2"/>
    <x v="3"/>
    <s v="Q3"/>
    <n v="45092"/>
    <x v="4"/>
    <x v="4"/>
    <x v="1"/>
    <x v="8"/>
    <s v="Binders light"/>
    <x v="59"/>
    <n v="6"/>
    <n v="0.14000000000000001"/>
    <n v="698.44"/>
    <e v="#VALUE!"/>
    <s v="profit"/>
  </r>
  <r>
    <s v="2f43f285-d7f3-4b57-b3b2-d533ee15136b"/>
    <m/>
    <d v="2024-05-07T00:00:00"/>
    <x v="2"/>
    <x v="8"/>
    <s v="Q2"/>
    <n v="45419"/>
    <x v="4"/>
    <x v="0"/>
    <x v="0"/>
    <x v="7"/>
    <s v="Chairs develop"/>
    <x v="59"/>
    <n v="9"/>
    <n v="7.0000000000000007E-2"/>
    <n v="825.26"/>
    <e v="#VALUE!"/>
    <s v="profit"/>
  </r>
  <r>
    <s v="c95950ca-20a8-4b7a-aca5-51d9573073e8"/>
    <m/>
    <d v="2023-11-11T00:00:00"/>
    <x v="2"/>
    <x v="5"/>
    <s v="Q4"/>
    <n v="45241"/>
    <x v="4"/>
    <x v="4"/>
    <x v="1"/>
    <x v="8"/>
    <s v="Binders realize"/>
    <x v="59"/>
    <n v="10"/>
    <n v="0.45"/>
    <n v="506.73"/>
    <e v="#VALUE!"/>
    <s v="profit"/>
  </r>
  <r>
    <s v="d3826c22-5173-40e9-b3ba-283d13e15b25"/>
    <m/>
    <d v="2023-03-18T00:00:00"/>
    <x v="2"/>
    <x v="10"/>
    <s v="Q2"/>
    <n v="45003"/>
    <x v="4"/>
    <x v="0"/>
    <x v="0"/>
    <x v="7"/>
    <s v="Chairs law"/>
    <x v="59"/>
    <n v="8"/>
    <n v="0.43"/>
    <n v="28.39"/>
    <e v="#VALUE!"/>
    <s v="profit"/>
  </r>
  <r>
    <s v="e4b23c5b-cc44-4273-93ba-21c8322d8af7"/>
    <m/>
    <d v="2024-05-25T00:00:00"/>
    <x v="2"/>
    <x v="8"/>
    <s v="Q2"/>
    <n v="45437"/>
    <x v="4"/>
    <x v="7"/>
    <x v="2"/>
    <x v="6"/>
    <s v="Laptops my"/>
    <x v="59"/>
    <n v="7"/>
    <n v="0.03"/>
    <n v="17.55"/>
    <e v="#VALUE!"/>
    <s v="profit"/>
  </r>
  <r>
    <s v="3b9a8021-d20f-4a49-a947-f856a4ad1ec3"/>
    <m/>
    <d v="2023-12-02T00:00:00"/>
    <x v="2"/>
    <x v="9"/>
    <s v="Q4"/>
    <n v="45262"/>
    <x v="4"/>
    <x v="4"/>
    <x v="1"/>
    <x v="1"/>
    <s v="Paper mission"/>
    <x v="59"/>
    <n v="3"/>
    <n v="0.44"/>
    <n v="156.16999999999999"/>
    <e v="#VALUE!"/>
    <s v="profit"/>
  </r>
  <r>
    <s v="ef2845d7-827a-441a-bab6-6d123450d496"/>
    <m/>
    <d v="2024-10-15T00:00:00"/>
    <x v="2"/>
    <x v="4"/>
    <s v="Q4"/>
    <n v="45580"/>
    <x v="4"/>
    <x v="0"/>
    <x v="2"/>
    <x v="2"/>
    <s v="Accessories drug"/>
    <x v="59"/>
    <n v="9"/>
    <n v="0.31"/>
    <n v="449.51"/>
    <e v="#VALUE!"/>
    <s v="profit"/>
  </r>
  <r>
    <s v="5aa68c07-345e-43d4-9929-e14fd28be956"/>
    <m/>
    <d v="2024-11-07T00:00:00"/>
    <x v="2"/>
    <x v="5"/>
    <s v="Q4"/>
    <n v="45603"/>
    <x v="4"/>
    <x v="2"/>
    <x v="0"/>
    <x v="7"/>
    <s v="Chairs discover"/>
    <x v="59"/>
    <n v="4"/>
    <n v="0.46"/>
    <n v="482.52"/>
    <e v="#VALUE!"/>
    <s v="profi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x v="0"/>
  </r>
  <r>
    <x v="1"/>
  </r>
  <r>
    <x v="2"/>
  </r>
  <r>
    <x v="0"/>
  </r>
  <r>
    <x v="2"/>
  </r>
  <r>
    <x v="1"/>
  </r>
  <r>
    <x v="1"/>
  </r>
  <r>
    <x v="1"/>
  </r>
  <r>
    <x v="2"/>
  </r>
  <r>
    <x v="2"/>
  </r>
  <r>
    <x v="2"/>
  </r>
  <r>
    <x v="0"/>
  </r>
  <r>
    <x v="2"/>
  </r>
  <r>
    <x v="1"/>
  </r>
  <r>
    <x v="2"/>
  </r>
  <r>
    <x v="2"/>
  </r>
  <r>
    <x v="1"/>
  </r>
  <r>
    <x v="1"/>
  </r>
  <r>
    <x v="0"/>
  </r>
  <r>
    <x v="2"/>
  </r>
  <r>
    <x v="2"/>
  </r>
  <r>
    <x v="1"/>
  </r>
  <r>
    <x v="1"/>
  </r>
  <r>
    <x v="0"/>
  </r>
  <r>
    <x v="0"/>
  </r>
  <r>
    <x v="2"/>
  </r>
  <r>
    <x v="2"/>
  </r>
  <r>
    <x v="1"/>
  </r>
  <r>
    <x v="1"/>
  </r>
  <r>
    <x v="1"/>
  </r>
  <r>
    <x v="0"/>
  </r>
  <r>
    <x v="0"/>
  </r>
  <r>
    <x v="1"/>
  </r>
  <r>
    <x v="1"/>
  </r>
  <r>
    <x v="1"/>
  </r>
  <r>
    <x v="1"/>
  </r>
  <r>
    <x v="2"/>
  </r>
  <r>
    <x v="2"/>
  </r>
  <r>
    <x v="1"/>
  </r>
  <r>
    <x v="1"/>
  </r>
  <r>
    <x v="0"/>
  </r>
  <r>
    <x v="2"/>
  </r>
  <r>
    <x v="1"/>
  </r>
  <r>
    <x v="1"/>
  </r>
  <r>
    <x v="1"/>
  </r>
  <r>
    <x v="1"/>
  </r>
  <r>
    <x v="1"/>
  </r>
  <r>
    <x v="2"/>
  </r>
  <r>
    <x v="1"/>
  </r>
  <r>
    <x v="1"/>
  </r>
  <r>
    <x v="1"/>
  </r>
  <r>
    <x v="1"/>
  </r>
  <r>
    <x v="0"/>
  </r>
  <r>
    <x v="2"/>
  </r>
  <r>
    <x v="2"/>
  </r>
  <r>
    <x v="2"/>
  </r>
  <r>
    <x v="0"/>
  </r>
  <r>
    <x v="0"/>
  </r>
  <r>
    <x v="2"/>
  </r>
  <r>
    <x v="1"/>
  </r>
  <r>
    <x v="2"/>
  </r>
  <r>
    <x v="0"/>
  </r>
  <r>
    <x v="0"/>
  </r>
  <r>
    <x v="1"/>
  </r>
  <r>
    <x v="0"/>
  </r>
  <r>
    <x v="2"/>
  </r>
  <r>
    <x v="1"/>
  </r>
  <r>
    <x v="1"/>
  </r>
  <r>
    <x v="2"/>
  </r>
  <r>
    <x v="0"/>
  </r>
  <r>
    <x v="2"/>
  </r>
  <r>
    <x v="0"/>
  </r>
  <r>
    <x v="0"/>
  </r>
  <r>
    <x v="0"/>
  </r>
  <r>
    <x v="2"/>
  </r>
  <r>
    <x v="0"/>
  </r>
  <r>
    <x v="2"/>
  </r>
  <r>
    <x v="0"/>
  </r>
  <r>
    <x v="1"/>
  </r>
  <r>
    <x v="1"/>
  </r>
  <r>
    <x v="2"/>
  </r>
  <r>
    <x v="0"/>
  </r>
  <r>
    <x v="2"/>
  </r>
  <r>
    <x v="2"/>
  </r>
  <r>
    <x v="0"/>
  </r>
  <r>
    <x v="0"/>
  </r>
  <r>
    <x v="0"/>
  </r>
  <r>
    <x v="0"/>
  </r>
  <r>
    <x v="1"/>
  </r>
  <r>
    <x v="2"/>
  </r>
  <r>
    <x v="1"/>
  </r>
  <r>
    <x v="2"/>
  </r>
  <r>
    <x v="0"/>
  </r>
  <r>
    <x v="0"/>
  </r>
  <r>
    <x v="1"/>
  </r>
  <r>
    <x v="0"/>
  </r>
  <r>
    <x v="0"/>
  </r>
  <r>
    <x v="1"/>
  </r>
  <r>
    <x v="2"/>
  </r>
  <r>
    <x v="2"/>
  </r>
  <r>
    <x v="0"/>
  </r>
  <r>
    <x v="2"/>
  </r>
  <r>
    <x v="1"/>
  </r>
  <r>
    <x v="1"/>
  </r>
  <r>
    <x v="1"/>
  </r>
  <r>
    <x v="0"/>
  </r>
  <r>
    <x v="1"/>
  </r>
  <r>
    <x v="0"/>
  </r>
  <r>
    <x v="0"/>
  </r>
  <r>
    <x v="1"/>
  </r>
  <r>
    <x v="1"/>
  </r>
  <r>
    <x v="1"/>
  </r>
  <r>
    <x v="1"/>
  </r>
  <r>
    <x v="2"/>
  </r>
  <r>
    <x v="1"/>
  </r>
  <r>
    <x v="0"/>
  </r>
  <r>
    <x v="1"/>
  </r>
  <r>
    <x v="2"/>
  </r>
  <r>
    <x v="2"/>
  </r>
  <r>
    <x v="1"/>
  </r>
  <r>
    <x v="0"/>
  </r>
  <r>
    <x v="0"/>
  </r>
  <r>
    <x v="1"/>
  </r>
  <r>
    <x v="1"/>
  </r>
  <r>
    <x v="1"/>
  </r>
  <r>
    <x v="0"/>
  </r>
  <r>
    <x v="0"/>
  </r>
  <r>
    <x v="1"/>
  </r>
  <r>
    <x v="1"/>
  </r>
  <r>
    <x v="2"/>
  </r>
  <r>
    <x v="1"/>
  </r>
  <r>
    <x v="2"/>
  </r>
  <r>
    <x v="1"/>
  </r>
  <r>
    <x v="2"/>
  </r>
  <r>
    <x v="1"/>
  </r>
  <r>
    <x v="0"/>
  </r>
  <r>
    <x v="0"/>
  </r>
  <r>
    <x v="2"/>
  </r>
  <r>
    <x v="2"/>
  </r>
  <r>
    <x v="1"/>
  </r>
  <r>
    <x v="0"/>
  </r>
  <r>
    <x v="0"/>
  </r>
  <r>
    <x v="0"/>
  </r>
  <r>
    <x v="1"/>
  </r>
  <r>
    <x v="1"/>
  </r>
  <r>
    <x v="2"/>
  </r>
  <r>
    <x v="1"/>
  </r>
  <r>
    <x v="1"/>
  </r>
  <r>
    <x v="2"/>
  </r>
  <r>
    <x v="1"/>
  </r>
  <r>
    <x v="2"/>
  </r>
  <r>
    <x v="1"/>
  </r>
  <r>
    <x v="2"/>
  </r>
  <r>
    <x v="2"/>
  </r>
  <r>
    <x v="1"/>
  </r>
  <r>
    <x v="2"/>
  </r>
  <r>
    <x v="2"/>
  </r>
  <r>
    <x v="2"/>
  </r>
  <r>
    <x v="0"/>
  </r>
  <r>
    <x v="2"/>
  </r>
  <r>
    <x v="0"/>
  </r>
  <r>
    <x v="1"/>
  </r>
  <r>
    <x v="2"/>
  </r>
  <r>
    <x v="0"/>
  </r>
  <r>
    <x v="0"/>
  </r>
  <r>
    <x v="0"/>
  </r>
  <r>
    <x v="1"/>
  </r>
  <r>
    <x v="1"/>
  </r>
  <r>
    <x v="0"/>
  </r>
  <r>
    <x v="0"/>
  </r>
  <r>
    <x v="1"/>
  </r>
  <r>
    <x v="0"/>
  </r>
  <r>
    <x v="0"/>
  </r>
  <r>
    <x v="2"/>
  </r>
  <r>
    <x v="1"/>
  </r>
  <r>
    <x v="1"/>
  </r>
  <r>
    <x v="1"/>
  </r>
  <r>
    <x v="0"/>
  </r>
  <r>
    <x v="0"/>
  </r>
  <r>
    <x v="1"/>
  </r>
  <r>
    <x v="1"/>
  </r>
  <r>
    <x v="2"/>
  </r>
  <r>
    <x v="0"/>
  </r>
  <r>
    <x v="0"/>
  </r>
  <r>
    <x v="1"/>
  </r>
  <r>
    <x v="0"/>
  </r>
  <r>
    <x v="1"/>
  </r>
  <r>
    <x v="1"/>
  </r>
  <r>
    <x v="1"/>
  </r>
  <r>
    <x v="0"/>
  </r>
  <r>
    <x v="0"/>
  </r>
  <r>
    <x v="0"/>
  </r>
  <r>
    <x v="0"/>
  </r>
  <r>
    <x v="1"/>
  </r>
  <r>
    <x v="0"/>
  </r>
  <r>
    <x v="2"/>
  </r>
  <r>
    <x v="0"/>
  </r>
  <r>
    <x v="2"/>
  </r>
  <r>
    <x v="1"/>
  </r>
  <r>
    <x v="0"/>
  </r>
  <r>
    <x v="2"/>
  </r>
  <r>
    <x v="0"/>
  </r>
  <r>
    <x v="2"/>
  </r>
  <r>
    <x v="2"/>
  </r>
  <r>
    <x v="1"/>
  </r>
  <r>
    <x v="0"/>
  </r>
  <r>
    <x v="0"/>
  </r>
  <r>
    <x v="1"/>
  </r>
  <r>
    <x v="1"/>
  </r>
  <r>
    <x v="0"/>
  </r>
  <r>
    <x v="2"/>
  </r>
  <r>
    <x v="1"/>
  </r>
  <r>
    <x v="1"/>
  </r>
  <r>
    <x v="1"/>
  </r>
  <r>
    <x v="2"/>
  </r>
  <r>
    <x v="1"/>
  </r>
  <r>
    <x v="0"/>
  </r>
  <r>
    <x v="2"/>
  </r>
  <r>
    <x v="2"/>
  </r>
  <r>
    <x v="2"/>
  </r>
  <r>
    <x v="1"/>
  </r>
  <r>
    <x v="0"/>
  </r>
  <r>
    <x v="2"/>
  </r>
  <r>
    <x v="2"/>
  </r>
  <r>
    <x v="1"/>
  </r>
  <r>
    <x v="0"/>
  </r>
  <r>
    <x v="1"/>
  </r>
  <r>
    <x v="2"/>
  </r>
  <r>
    <x v="1"/>
  </r>
  <r>
    <x v="0"/>
  </r>
  <r>
    <x v="2"/>
  </r>
  <r>
    <x v="0"/>
  </r>
  <r>
    <x v="0"/>
  </r>
  <r>
    <x v="1"/>
  </r>
  <r>
    <x v="1"/>
  </r>
  <r>
    <x v="1"/>
  </r>
  <r>
    <x v="0"/>
  </r>
  <r>
    <x v="1"/>
  </r>
  <r>
    <x v="0"/>
  </r>
  <r>
    <x v="2"/>
  </r>
  <r>
    <x v="1"/>
  </r>
  <r>
    <x v="2"/>
  </r>
  <r>
    <x v="2"/>
  </r>
  <r>
    <x v="0"/>
  </r>
  <r>
    <x v="2"/>
  </r>
  <r>
    <x v="1"/>
  </r>
  <r>
    <x v="1"/>
  </r>
  <r>
    <x v="1"/>
  </r>
  <r>
    <x v="1"/>
  </r>
  <r>
    <x v="1"/>
  </r>
  <r>
    <x v="1"/>
  </r>
  <r>
    <x v="2"/>
  </r>
  <r>
    <x v="0"/>
  </r>
  <r>
    <x v="0"/>
  </r>
  <r>
    <x v="1"/>
  </r>
  <r>
    <x v="1"/>
  </r>
  <r>
    <x v="1"/>
  </r>
  <r>
    <x v="2"/>
  </r>
  <r>
    <x v="2"/>
  </r>
  <r>
    <x v="2"/>
  </r>
  <r>
    <x v="1"/>
  </r>
  <r>
    <x v="1"/>
  </r>
  <r>
    <x v="1"/>
  </r>
  <r>
    <x v="2"/>
  </r>
  <r>
    <x v="0"/>
  </r>
  <r>
    <x v="1"/>
  </r>
  <r>
    <x v="2"/>
  </r>
  <r>
    <x v="2"/>
  </r>
  <r>
    <x v="1"/>
  </r>
  <r>
    <x v="1"/>
  </r>
  <r>
    <x v="1"/>
  </r>
  <r>
    <x v="0"/>
  </r>
  <r>
    <x v="0"/>
  </r>
  <r>
    <x v="1"/>
  </r>
  <r>
    <x v="1"/>
  </r>
  <r>
    <x v="0"/>
  </r>
  <r>
    <x v="1"/>
  </r>
  <r>
    <x v="1"/>
  </r>
  <r>
    <x v="1"/>
  </r>
  <r>
    <x v="0"/>
  </r>
  <r>
    <x v="1"/>
  </r>
  <r>
    <x v="0"/>
  </r>
  <r>
    <x v="0"/>
  </r>
  <r>
    <x v="2"/>
  </r>
  <r>
    <x v="2"/>
  </r>
  <r>
    <x v="0"/>
  </r>
  <r>
    <x v="1"/>
  </r>
  <r>
    <x v="1"/>
  </r>
  <r>
    <x v="0"/>
  </r>
  <r>
    <x v="1"/>
  </r>
  <r>
    <x v="0"/>
  </r>
  <r>
    <x v="2"/>
  </r>
  <r>
    <x v="2"/>
  </r>
  <r>
    <x v="1"/>
  </r>
  <r>
    <x v="2"/>
  </r>
  <r>
    <x v="1"/>
  </r>
  <r>
    <x v="1"/>
  </r>
  <r>
    <x v="1"/>
  </r>
  <r>
    <x v="0"/>
  </r>
  <r>
    <x v="0"/>
  </r>
  <r>
    <x v="2"/>
  </r>
  <r>
    <x v="0"/>
  </r>
  <r>
    <x v="2"/>
  </r>
  <r>
    <x v="0"/>
  </r>
  <r>
    <x v="2"/>
  </r>
  <r>
    <x v="0"/>
  </r>
  <r>
    <x v="2"/>
  </r>
  <r>
    <x v="1"/>
  </r>
  <r>
    <x v="1"/>
  </r>
  <r>
    <x v="1"/>
  </r>
  <r>
    <x v="0"/>
  </r>
  <r>
    <x v="2"/>
  </r>
  <r>
    <x v="0"/>
  </r>
  <r>
    <x v="2"/>
  </r>
  <r>
    <x v="0"/>
  </r>
  <r>
    <x v="0"/>
  </r>
  <r>
    <x v="2"/>
  </r>
  <r>
    <x v="1"/>
  </r>
  <r>
    <x v="0"/>
  </r>
  <r>
    <x v="1"/>
  </r>
  <r>
    <x v="2"/>
  </r>
  <r>
    <x v="2"/>
  </r>
  <r>
    <x v="0"/>
  </r>
  <r>
    <x v="1"/>
  </r>
  <r>
    <x v="1"/>
  </r>
  <r>
    <x v="0"/>
  </r>
  <r>
    <x v="0"/>
  </r>
  <r>
    <x v="0"/>
  </r>
  <r>
    <x v="0"/>
  </r>
  <r>
    <x v="0"/>
  </r>
  <r>
    <x v="2"/>
  </r>
  <r>
    <x v="2"/>
  </r>
  <r>
    <x v="2"/>
  </r>
  <r>
    <x v="1"/>
  </r>
  <r>
    <x v="1"/>
  </r>
  <r>
    <x v="1"/>
  </r>
  <r>
    <x v="2"/>
  </r>
  <r>
    <x v="0"/>
  </r>
  <r>
    <x v="1"/>
  </r>
  <r>
    <x v="0"/>
  </r>
  <r>
    <x v="0"/>
  </r>
  <r>
    <x v="2"/>
  </r>
  <r>
    <x v="1"/>
  </r>
  <r>
    <x v="1"/>
  </r>
  <r>
    <x v="0"/>
  </r>
  <r>
    <x v="1"/>
  </r>
  <r>
    <x v="2"/>
  </r>
  <r>
    <x v="0"/>
  </r>
  <r>
    <x v="2"/>
  </r>
  <r>
    <x v="2"/>
  </r>
  <r>
    <x v="0"/>
  </r>
  <r>
    <x v="2"/>
  </r>
  <r>
    <x v="2"/>
  </r>
  <r>
    <x v="2"/>
  </r>
  <r>
    <x v="0"/>
  </r>
  <r>
    <x v="2"/>
  </r>
  <r>
    <x v="0"/>
  </r>
  <r>
    <x v="1"/>
  </r>
  <r>
    <x v="2"/>
  </r>
  <r>
    <x v="1"/>
  </r>
  <r>
    <x v="1"/>
  </r>
  <r>
    <x v="2"/>
  </r>
  <r>
    <x v="0"/>
  </r>
  <r>
    <x v="1"/>
  </r>
  <r>
    <x v="1"/>
  </r>
  <r>
    <x v="0"/>
  </r>
  <r>
    <x v="2"/>
  </r>
  <r>
    <x v="2"/>
  </r>
  <r>
    <x v="2"/>
  </r>
  <r>
    <x v="2"/>
  </r>
  <r>
    <x v="1"/>
  </r>
  <r>
    <x v="0"/>
  </r>
  <r>
    <x v="1"/>
  </r>
  <r>
    <x v="1"/>
  </r>
  <r>
    <x v="0"/>
  </r>
  <r>
    <x v="0"/>
  </r>
  <r>
    <x v="1"/>
  </r>
  <r>
    <x v="1"/>
  </r>
  <r>
    <x v="2"/>
  </r>
  <r>
    <x v="2"/>
  </r>
  <r>
    <x v="1"/>
  </r>
  <r>
    <x v="1"/>
  </r>
  <r>
    <x v="2"/>
  </r>
  <r>
    <x v="0"/>
  </r>
  <r>
    <x v="0"/>
  </r>
  <r>
    <x v="1"/>
  </r>
  <r>
    <x v="2"/>
  </r>
  <r>
    <x v="0"/>
  </r>
  <r>
    <x v="2"/>
  </r>
  <r>
    <x v="1"/>
  </r>
  <r>
    <x v="0"/>
  </r>
  <r>
    <x v="0"/>
  </r>
  <r>
    <x v="2"/>
  </r>
  <r>
    <x v="1"/>
  </r>
  <r>
    <x v="0"/>
  </r>
  <r>
    <x v="0"/>
  </r>
  <r>
    <x v="1"/>
  </r>
  <r>
    <x v="1"/>
  </r>
  <r>
    <x v="0"/>
  </r>
  <r>
    <x v="2"/>
  </r>
  <r>
    <x v="2"/>
  </r>
  <r>
    <x v="2"/>
  </r>
  <r>
    <x v="0"/>
  </r>
  <r>
    <x v="1"/>
  </r>
  <r>
    <x v="2"/>
  </r>
  <r>
    <x v="2"/>
  </r>
  <r>
    <x v="0"/>
  </r>
  <r>
    <x v="1"/>
  </r>
  <r>
    <x v="1"/>
  </r>
  <r>
    <x v="1"/>
  </r>
  <r>
    <x v="2"/>
  </r>
  <r>
    <x v="0"/>
  </r>
  <r>
    <x v="1"/>
  </r>
  <r>
    <x v="2"/>
  </r>
  <r>
    <x v="2"/>
  </r>
  <r>
    <x v="2"/>
  </r>
  <r>
    <x v="0"/>
  </r>
  <r>
    <x v="1"/>
  </r>
  <r>
    <x v="1"/>
  </r>
  <r>
    <x v="0"/>
  </r>
  <r>
    <x v="1"/>
  </r>
  <r>
    <x v="0"/>
  </r>
  <r>
    <x v="1"/>
  </r>
  <r>
    <x v="2"/>
  </r>
  <r>
    <x v="1"/>
  </r>
  <r>
    <x v="1"/>
  </r>
  <r>
    <x v="2"/>
  </r>
  <r>
    <x v="2"/>
  </r>
  <r>
    <x v="1"/>
  </r>
  <r>
    <x v="0"/>
  </r>
  <r>
    <x v="0"/>
  </r>
  <r>
    <x v="0"/>
  </r>
  <r>
    <x v="0"/>
  </r>
  <r>
    <x v="0"/>
  </r>
  <r>
    <x v="2"/>
  </r>
  <r>
    <x v="2"/>
  </r>
  <r>
    <x v="1"/>
  </r>
  <r>
    <x v="0"/>
  </r>
  <r>
    <x v="0"/>
  </r>
  <r>
    <x v="1"/>
  </r>
  <r>
    <x v="0"/>
  </r>
  <r>
    <x v="2"/>
  </r>
  <r>
    <x v="2"/>
  </r>
  <r>
    <x v="0"/>
  </r>
  <r>
    <x v="1"/>
  </r>
  <r>
    <x v="1"/>
  </r>
  <r>
    <x v="0"/>
  </r>
  <r>
    <x v="2"/>
  </r>
  <r>
    <x v="1"/>
  </r>
  <r>
    <x v="2"/>
  </r>
  <r>
    <x v="0"/>
  </r>
  <r>
    <x v="1"/>
  </r>
  <r>
    <x v="2"/>
  </r>
  <r>
    <x v="1"/>
  </r>
  <r>
    <x v="0"/>
  </r>
  <r>
    <x v="2"/>
  </r>
  <r>
    <x v="2"/>
  </r>
  <r>
    <x v="1"/>
  </r>
  <r>
    <x v="0"/>
  </r>
  <r>
    <x v="0"/>
  </r>
  <r>
    <x v="1"/>
  </r>
  <r>
    <x v="1"/>
  </r>
  <r>
    <x v="0"/>
  </r>
  <r>
    <x v="0"/>
  </r>
  <r>
    <x v="2"/>
  </r>
  <r>
    <x v="1"/>
  </r>
  <r>
    <x v="2"/>
  </r>
  <r>
    <x v="0"/>
  </r>
  <r>
    <x v="0"/>
  </r>
  <r>
    <x v="0"/>
  </r>
  <r>
    <x v="2"/>
  </r>
  <r>
    <x v="0"/>
  </r>
  <r>
    <x v="0"/>
  </r>
  <r>
    <x v="2"/>
  </r>
  <r>
    <x v="0"/>
  </r>
  <r>
    <x v="0"/>
  </r>
  <r>
    <x v="1"/>
  </r>
  <r>
    <x v="2"/>
  </r>
  <r>
    <x v="2"/>
  </r>
  <r>
    <x v="2"/>
  </r>
  <r>
    <x v="2"/>
  </r>
  <r>
    <x v="0"/>
  </r>
  <r>
    <x v="2"/>
  </r>
  <r>
    <x v="2"/>
  </r>
  <r>
    <x v="2"/>
  </r>
  <r>
    <x v="2"/>
  </r>
  <r>
    <x v="1"/>
  </r>
  <r>
    <x v="1"/>
  </r>
  <r>
    <x v="1"/>
  </r>
  <r>
    <x v="0"/>
  </r>
  <r>
    <x v="0"/>
  </r>
  <r>
    <x v="2"/>
  </r>
  <r>
    <x v="1"/>
  </r>
  <r>
    <x v="2"/>
  </r>
  <r>
    <x v="1"/>
  </r>
  <r>
    <x v="1"/>
  </r>
  <r>
    <x v="0"/>
  </r>
  <r>
    <x v="2"/>
  </r>
  <r>
    <x v="1"/>
  </r>
  <r>
    <x v="1"/>
  </r>
  <r>
    <x v="0"/>
  </r>
  <r>
    <x v="1"/>
  </r>
  <r>
    <x v="0"/>
  </r>
  <r>
    <x v="2"/>
  </r>
  <r>
    <x v="0"/>
  </r>
  <r>
    <x v="2"/>
  </r>
  <r>
    <x v="2"/>
  </r>
  <r>
    <x v="1"/>
  </r>
  <r>
    <x v="1"/>
  </r>
  <r>
    <x v="2"/>
  </r>
  <r>
    <x v="2"/>
  </r>
  <r>
    <x v="2"/>
  </r>
  <r>
    <x v="1"/>
  </r>
  <r>
    <x v="0"/>
  </r>
  <r>
    <x v="0"/>
  </r>
  <r>
    <x v="2"/>
  </r>
  <r>
    <x v="1"/>
  </r>
  <r>
    <x v="0"/>
  </r>
  <r>
    <x v="0"/>
  </r>
  <r>
    <x v="1"/>
  </r>
  <r>
    <x v="0"/>
  </r>
  <r>
    <x v="2"/>
  </r>
  <r>
    <x v="2"/>
  </r>
  <r>
    <x v="1"/>
  </r>
  <r>
    <x v="2"/>
  </r>
  <r>
    <x v="2"/>
  </r>
  <r>
    <x v="2"/>
  </r>
  <r>
    <x v="0"/>
  </r>
  <r>
    <x v="0"/>
  </r>
  <r>
    <x v="1"/>
  </r>
  <r>
    <x v="2"/>
  </r>
  <r>
    <x v="0"/>
  </r>
  <r>
    <x v="1"/>
  </r>
  <r>
    <x v="1"/>
  </r>
  <r>
    <x v="0"/>
  </r>
  <r>
    <x v="2"/>
  </r>
  <r>
    <x v="1"/>
  </r>
  <r>
    <x v="0"/>
  </r>
  <r>
    <x v="0"/>
  </r>
  <r>
    <x v="2"/>
  </r>
  <r>
    <x v="2"/>
  </r>
  <r>
    <x v="1"/>
  </r>
  <r>
    <x v="1"/>
  </r>
  <r>
    <x v="2"/>
  </r>
  <r>
    <x v="1"/>
  </r>
  <r>
    <x v="2"/>
  </r>
  <r>
    <x v="2"/>
  </r>
  <r>
    <x v="0"/>
  </r>
  <r>
    <x v="2"/>
  </r>
  <r>
    <x v="1"/>
  </r>
  <r>
    <x v="2"/>
  </r>
  <r>
    <x v="2"/>
  </r>
  <r>
    <x v="1"/>
  </r>
  <r>
    <x v="1"/>
  </r>
  <r>
    <x v="0"/>
  </r>
  <r>
    <x v="2"/>
  </r>
  <r>
    <x v="2"/>
  </r>
  <r>
    <x v="0"/>
  </r>
  <r>
    <x v="1"/>
  </r>
  <r>
    <x v="1"/>
  </r>
  <r>
    <x v="2"/>
  </r>
  <r>
    <x v="1"/>
  </r>
  <r>
    <x v="0"/>
  </r>
  <r>
    <x v="1"/>
  </r>
  <r>
    <x v="1"/>
  </r>
  <r>
    <x v="2"/>
  </r>
  <r>
    <x v="2"/>
  </r>
  <r>
    <x v="2"/>
  </r>
  <r>
    <x v="2"/>
  </r>
  <r>
    <x v="2"/>
  </r>
  <r>
    <x v="1"/>
  </r>
  <r>
    <x v="0"/>
  </r>
  <r>
    <x v="1"/>
  </r>
  <r>
    <x v="0"/>
  </r>
  <r>
    <x v="0"/>
  </r>
  <r>
    <x v="1"/>
  </r>
  <r>
    <x v="2"/>
  </r>
  <r>
    <x v="0"/>
  </r>
  <r>
    <x v="2"/>
  </r>
  <r>
    <x v="2"/>
  </r>
  <r>
    <x v="1"/>
  </r>
  <r>
    <x v="1"/>
  </r>
  <r>
    <x v="1"/>
  </r>
  <r>
    <x v="2"/>
  </r>
  <r>
    <x v="1"/>
  </r>
  <r>
    <x v="1"/>
  </r>
  <r>
    <x v="1"/>
  </r>
  <r>
    <x v="2"/>
  </r>
  <r>
    <x v="0"/>
  </r>
  <r>
    <x v="1"/>
  </r>
  <r>
    <x v="0"/>
  </r>
  <r>
    <x v="2"/>
  </r>
  <r>
    <x v="0"/>
  </r>
  <r>
    <x v="0"/>
  </r>
  <r>
    <x v="2"/>
  </r>
  <r>
    <x v="0"/>
  </r>
  <r>
    <x v="1"/>
  </r>
  <r>
    <x v="2"/>
  </r>
  <r>
    <x v="1"/>
  </r>
  <r>
    <x v="1"/>
  </r>
  <r>
    <x v="2"/>
  </r>
  <r>
    <x v="2"/>
  </r>
  <r>
    <x v="1"/>
  </r>
  <r>
    <x v="1"/>
  </r>
  <r>
    <x v="0"/>
  </r>
  <r>
    <x v="2"/>
  </r>
  <r>
    <x v="0"/>
  </r>
  <r>
    <x v="0"/>
  </r>
  <r>
    <x v="1"/>
  </r>
  <r>
    <x v="2"/>
  </r>
  <r>
    <x v="0"/>
  </r>
  <r>
    <x v="1"/>
  </r>
  <r>
    <x v="1"/>
  </r>
  <r>
    <x v="2"/>
  </r>
  <r>
    <x v="0"/>
  </r>
  <r>
    <x v="0"/>
  </r>
  <r>
    <x v="0"/>
  </r>
  <r>
    <x v="1"/>
  </r>
  <r>
    <x v="2"/>
  </r>
  <r>
    <x v="1"/>
  </r>
  <r>
    <x v="0"/>
  </r>
  <r>
    <x v="0"/>
  </r>
  <r>
    <x v="0"/>
  </r>
  <r>
    <x v="2"/>
  </r>
  <r>
    <x v="2"/>
  </r>
  <r>
    <x v="2"/>
  </r>
  <r>
    <x v="0"/>
  </r>
  <r>
    <x v="2"/>
  </r>
  <r>
    <x v="1"/>
  </r>
  <r>
    <x v="2"/>
  </r>
  <r>
    <x v="0"/>
  </r>
  <r>
    <x v="0"/>
  </r>
  <r>
    <x v="2"/>
  </r>
  <r>
    <x v="2"/>
  </r>
  <r>
    <x v="0"/>
  </r>
  <r>
    <x v="1"/>
  </r>
  <r>
    <x v="1"/>
  </r>
  <r>
    <x v="1"/>
  </r>
  <r>
    <x v="1"/>
  </r>
  <r>
    <x v="0"/>
  </r>
  <r>
    <x v="2"/>
  </r>
  <r>
    <x v="2"/>
  </r>
  <r>
    <x v="2"/>
  </r>
  <r>
    <x v="2"/>
  </r>
  <r>
    <x v="1"/>
  </r>
  <r>
    <x v="0"/>
  </r>
  <r>
    <x v="2"/>
  </r>
  <r>
    <x v="2"/>
  </r>
  <r>
    <x v="0"/>
  </r>
  <r>
    <x v="2"/>
  </r>
  <r>
    <x v="2"/>
  </r>
  <r>
    <x v="0"/>
  </r>
  <r>
    <x v="2"/>
  </r>
  <r>
    <x v="2"/>
  </r>
  <r>
    <x v="2"/>
  </r>
  <r>
    <x v="0"/>
  </r>
  <r>
    <x v="2"/>
  </r>
  <r>
    <x v="0"/>
  </r>
  <r>
    <x v="0"/>
  </r>
  <r>
    <x v="1"/>
  </r>
  <r>
    <x v="1"/>
  </r>
  <r>
    <x v="2"/>
  </r>
  <r>
    <x v="0"/>
  </r>
  <r>
    <x v="1"/>
  </r>
  <r>
    <x v="2"/>
  </r>
  <r>
    <x v="1"/>
  </r>
  <r>
    <x v="1"/>
  </r>
  <r>
    <x v="2"/>
  </r>
  <r>
    <x v="1"/>
  </r>
  <r>
    <x v="2"/>
  </r>
  <r>
    <x v="2"/>
  </r>
  <r>
    <x v="0"/>
  </r>
  <r>
    <x v="1"/>
  </r>
  <r>
    <x v="0"/>
  </r>
  <r>
    <x v="0"/>
  </r>
  <r>
    <x v="2"/>
  </r>
  <r>
    <x v="1"/>
  </r>
  <r>
    <x v="0"/>
  </r>
  <r>
    <x v="0"/>
  </r>
  <r>
    <x v="2"/>
  </r>
  <r>
    <x v="2"/>
  </r>
  <r>
    <x v="2"/>
  </r>
  <r>
    <x v="0"/>
  </r>
  <r>
    <x v="0"/>
  </r>
  <r>
    <x v="2"/>
  </r>
  <r>
    <x v="1"/>
  </r>
  <r>
    <x v="1"/>
  </r>
  <r>
    <x v="0"/>
  </r>
  <r>
    <x v="1"/>
  </r>
  <r>
    <x v="0"/>
  </r>
  <r>
    <x v="2"/>
  </r>
  <r>
    <x v="0"/>
  </r>
  <r>
    <x v="0"/>
  </r>
  <r>
    <x v="0"/>
  </r>
  <r>
    <x v="1"/>
  </r>
  <r>
    <x v="1"/>
  </r>
  <r>
    <x v="2"/>
  </r>
  <r>
    <x v="1"/>
  </r>
  <r>
    <x v="0"/>
  </r>
  <r>
    <x v="2"/>
  </r>
  <r>
    <x v="2"/>
  </r>
  <r>
    <x v="1"/>
  </r>
  <r>
    <x v="0"/>
  </r>
  <r>
    <x v="1"/>
  </r>
  <r>
    <x v="0"/>
  </r>
  <r>
    <x v="2"/>
  </r>
  <r>
    <x v="0"/>
  </r>
  <r>
    <x v="2"/>
  </r>
  <r>
    <x v="0"/>
  </r>
  <r>
    <x v="2"/>
  </r>
  <r>
    <x v="2"/>
  </r>
  <r>
    <x v="0"/>
  </r>
  <r>
    <x v="2"/>
  </r>
  <r>
    <x v="1"/>
  </r>
  <r>
    <x v="2"/>
  </r>
  <r>
    <x v="1"/>
  </r>
  <r>
    <x v="1"/>
  </r>
  <r>
    <x v="1"/>
  </r>
  <r>
    <x v="0"/>
  </r>
  <r>
    <x v="0"/>
  </r>
  <r>
    <x v="2"/>
  </r>
  <r>
    <x v="0"/>
  </r>
  <r>
    <x v="2"/>
  </r>
  <r>
    <x v="1"/>
  </r>
  <r>
    <x v="0"/>
  </r>
  <r>
    <x v="0"/>
  </r>
  <r>
    <x v="1"/>
  </r>
  <r>
    <x v="0"/>
  </r>
  <r>
    <x v="0"/>
  </r>
  <r>
    <x v="0"/>
  </r>
  <r>
    <x v="0"/>
  </r>
  <r>
    <x v="1"/>
  </r>
  <r>
    <x v="1"/>
  </r>
  <r>
    <x v="0"/>
  </r>
  <r>
    <x v="2"/>
  </r>
  <r>
    <x v="2"/>
  </r>
  <r>
    <x v="1"/>
  </r>
  <r>
    <x v="2"/>
  </r>
  <r>
    <x v="1"/>
  </r>
  <r>
    <x v="2"/>
  </r>
  <r>
    <x v="0"/>
  </r>
  <r>
    <x v="2"/>
  </r>
  <r>
    <x v="0"/>
  </r>
  <r>
    <x v="1"/>
  </r>
  <r>
    <x v="2"/>
  </r>
  <r>
    <x v="2"/>
  </r>
  <r>
    <x v="0"/>
  </r>
  <r>
    <x v="2"/>
  </r>
  <r>
    <x v="0"/>
  </r>
  <r>
    <x v="1"/>
  </r>
  <r>
    <x v="0"/>
  </r>
  <r>
    <x v="0"/>
  </r>
  <r>
    <x v="0"/>
  </r>
  <r>
    <x v="1"/>
  </r>
  <r>
    <x v="2"/>
  </r>
  <r>
    <x v="1"/>
  </r>
  <r>
    <x v="0"/>
  </r>
  <r>
    <x v="1"/>
  </r>
  <r>
    <x v="1"/>
  </r>
  <r>
    <x v="2"/>
  </r>
  <r>
    <x v="0"/>
  </r>
  <r>
    <x v="1"/>
  </r>
  <r>
    <x v="2"/>
  </r>
  <r>
    <x v="1"/>
  </r>
  <r>
    <x v="0"/>
  </r>
  <r>
    <x v="2"/>
  </r>
  <r>
    <x v="1"/>
  </r>
  <r>
    <x v="2"/>
  </r>
  <r>
    <x v="1"/>
  </r>
  <r>
    <x v="2"/>
  </r>
  <r>
    <x v="2"/>
  </r>
  <r>
    <x v="1"/>
  </r>
  <r>
    <x v="2"/>
  </r>
  <r>
    <x v="2"/>
  </r>
  <r>
    <x v="1"/>
  </r>
  <r>
    <x v="2"/>
  </r>
  <r>
    <x v="0"/>
  </r>
  <r>
    <x v="2"/>
  </r>
  <r>
    <x v="1"/>
  </r>
  <r>
    <x v="0"/>
  </r>
  <r>
    <x v="0"/>
  </r>
  <r>
    <x v="2"/>
  </r>
  <r>
    <x v="2"/>
  </r>
  <r>
    <x v="0"/>
  </r>
  <r>
    <x v="2"/>
  </r>
  <r>
    <x v="0"/>
  </r>
  <r>
    <x v="1"/>
  </r>
  <r>
    <x v="0"/>
  </r>
  <r>
    <x v="1"/>
  </r>
  <r>
    <x v="2"/>
  </r>
  <r>
    <x v="0"/>
  </r>
  <r>
    <x v="1"/>
  </r>
  <r>
    <x v="1"/>
  </r>
  <r>
    <x v="0"/>
  </r>
  <r>
    <x v="1"/>
  </r>
  <r>
    <x v="0"/>
  </r>
  <r>
    <x v="0"/>
  </r>
  <r>
    <x v="0"/>
  </r>
  <r>
    <x v="1"/>
  </r>
  <r>
    <x v="0"/>
  </r>
  <r>
    <x v="2"/>
  </r>
  <r>
    <x v="1"/>
  </r>
  <r>
    <x v="0"/>
  </r>
  <r>
    <x v="2"/>
  </r>
  <r>
    <x v="2"/>
  </r>
  <r>
    <x v="2"/>
  </r>
  <r>
    <x v="2"/>
  </r>
  <r>
    <x v="2"/>
  </r>
  <r>
    <x v="0"/>
  </r>
  <r>
    <x v="0"/>
  </r>
  <r>
    <x v="1"/>
  </r>
  <r>
    <x v="1"/>
  </r>
  <r>
    <x v="2"/>
  </r>
  <r>
    <x v="0"/>
  </r>
  <r>
    <x v="1"/>
  </r>
  <r>
    <x v="0"/>
  </r>
  <r>
    <x v="1"/>
  </r>
  <r>
    <x v="1"/>
  </r>
  <r>
    <x v="0"/>
  </r>
  <r>
    <x v="0"/>
  </r>
  <r>
    <x v="1"/>
  </r>
  <r>
    <x v="1"/>
  </r>
  <r>
    <x v="0"/>
  </r>
  <r>
    <x v="1"/>
  </r>
  <r>
    <x v="0"/>
  </r>
  <r>
    <x v="0"/>
  </r>
  <r>
    <x v="1"/>
  </r>
  <r>
    <x v="1"/>
  </r>
  <r>
    <x v="2"/>
  </r>
  <r>
    <x v="2"/>
  </r>
  <r>
    <x v="1"/>
  </r>
  <r>
    <x v="2"/>
  </r>
  <r>
    <x v="0"/>
  </r>
  <r>
    <x v="2"/>
  </r>
  <r>
    <x v="0"/>
  </r>
  <r>
    <x v="1"/>
  </r>
  <r>
    <x v="0"/>
  </r>
  <r>
    <x v="2"/>
  </r>
  <r>
    <x v="1"/>
  </r>
  <r>
    <x v="1"/>
  </r>
  <r>
    <x v="0"/>
  </r>
  <r>
    <x v="2"/>
  </r>
  <r>
    <x v="2"/>
  </r>
  <r>
    <x v="2"/>
  </r>
  <r>
    <x v="1"/>
  </r>
  <r>
    <x v="0"/>
  </r>
  <r>
    <x v="2"/>
  </r>
  <r>
    <x v="1"/>
  </r>
  <r>
    <x v="0"/>
  </r>
  <r>
    <x v="0"/>
  </r>
  <r>
    <x v="1"/>
  </r>
  <r>
    <x v="1"/>
  </r>
  <r>
    <x v="1"/>
  </r>
  <r>
    <x v="1"/>
  </r>
  <r>
    <x v="0"/>
  </r>
  <r>
    <x v="2"/>
  </r>
  <r>
    <x v="2"/>
  </r>
  <r>
    <x v="1"/>
  </r>
  <r>
    <x v="2"/>
  </r>
  <r>
    <x v="0"/>
  </r>
  <r>
    <x v="0"/>
  </r>
  <r>
    <x v="0"/>
  </r>
  <r>
    <x v="0"/>
  </r>
  <r>
    <x v="0"/>
  </r>
  <r>
    <x v="2"/>
  </r>
  <r>
    <x v="1"/>
  </r>
  <r>
    <x v="0"/>
  </r>
  <r>
    <x v="2"/>
  </r>
  <r>
    <x v="2"/>
  </r>
  <r>
    <x v="1"/>
  </r>
  <r>
    <x v="0"/>
  </r>
  <r>
    <x v="1"/>
  </r>
  <r>
    <x v="1"/>
  </r>
  <r>
    <x v="0"/>
  </r>
  <r>
    <x v="0"/>
  </r>
  <r>
    <x v="0"/>
  </r>
  <r>
    <x v="2"/>
  </r>
  <r>
    <x v="1"/>
  </r>
  <r>
    <x v="1"/>
  </r>
  <r>
    <x v="0"/>
  </r>
  <r>
    <x v="0"/>
  </r>
  <r>
    <x v="1"/>
  </r>
  <r>
    <x v="0"/>
  </r>
  <r>
    <x v="2"/>
  </r>
  <r>
    <x v="0"/>
  </r>
  <r>
    <x v="2"/>
  </r>
  <r>
    <x v="2"/>
  </r>
  <r>
    <x v="2"/>
  </r>
  <r>
    <x v="2"/>
  </r>
  <r>
    <x v="1"/>
  </r>
  <r>
    <x v="0"/>
  </r>
  <r>
    <x v="2"/>
  </r>
  <r>
    <x v="2"/>
  </r>
  <r>
    <x v="1"/>
  </r>
  <r>
    <x v="0"/>
  </r>
  <r>
    <x v="2"/>
  </r>
  <r>
    <x v="2"/>
  </r>
  <r>
    <x v="0"/>
  </r>
  <r>
    <x v="2"/>
  </r>
  <r>
    <x v="2"/>
  </r>
  <r>
    <x v="2"/>
  </r>
  <r>
    <x v="0"/>
  </r>
  <r>
    <x v="0"/>
  </r>
  <r>
    <x v="0"/>
  </r>
  <r>
    <x v="1"/>
  </r>
  <r>
    <x v="2"/>
  </r>
  <r>
    <x v="2"/>
  </r>
  <r>
    <x v="2"/>
  </r>
  <r>
    <x v="0"/>
  </r>
  <r>
    <x v="2"/>
  </r>
  <r>
    <x v="1"/>
  </r>
  <r>
    <x v="0"/>
  </r>
  <r>
    <x v="1"/>
  </r>
  <r>
    <x v="1"/>
  </r>
  <r>
    <x v="1"/>
  </r>
  <r>
    <x v="2"/>
  </r>
  <r>
    <x v="1"/>
  </r>
  <r>
    <x v="1"/>
  </r>
  <r>
    <x v="1"/>
  </r>
  <r>
    <x v="1"/>
  </r>
  <r>
    <x v="1"/>
  </r>
  <r>
    <x v="0"/>
  </r>
  <r>
    <x v="0"/>
  </r>
  <r>
    <x v="2"/>
  </r>
  <r>
    <x v="2"/>
  </r>
  <r>
    <x v="0"/>
  </r>
  <r>
    <x v="1"/>
  </r>
  <r>
    <x v="1"/>
  </r>
  <r>
    <x v="0"/>
  </r>
  <r>
    <x v="0"/>
  </r>
  <r>
    <x v="1"/>
  </r>
  <r>
    <x v="2"/>
  </r>
  <r>
    <x v="0"/>
  </r>
  <r>
    <x v="0"/>
  </r>
  <r>
    <x v="1"/>
  </r>
  <r>
    <x v="0"/>
  </r>
  <r>
    <x v="2"/>
  </r>
  <r>
    <x v="0"/>
  </r>
  <r>
    <x v="1"/>
  </r>
  <r>
    <x v="1"/>
  </r>
  <r>
    <x v="0"/>
  </r>
  <r>
    <x v="2"/>
  </r>
  <r>
    <x v="2"/>
  </r>
  <r>
    <x v="0"/>
  </r>
  <r>
    <x v="0"/>
  </r>
  <r>
    <x v="2"/>
  </r>
  <r>
    <x v="0"/>
  </r>
  <r>
    <x v="2"/>
  </r>
  <r>
    <x v="2"/>
  </r>
  <r>
    <x v="0"/>
  </r>
  <r>
    <x v="2"/>
  </r>
  <r>
    <x v="2"/>
  </r>
  <r>
    <x v="0"/>
  </r>
  <r>
    <x v="0"/>
  </r>
  <r>
    <x v="0"/>
  </r>
  <r>
    <x v="2"/>
  </r>
  <r>
    <x v="2"/>
  </r>
  <r>
    <x v="0"/>
  </r>
  <r>
    <x v="1"/>
  </r>
  <r>
    <x v="1"/>
  </r>
  <r>
    <x v="0"/>
  </r>
  <r>
    <x v="0"/>
  </r>
  <r>
    <x v="1"/>
  </r>
  <r>
    <x v="0"/>
  </r>
  <r>
    <x v="1"/>
  </r>
  <r>
    <x v="1"/>
  </r>
  <r>
    <x v="1"/>
  </r>
  <r>
    <x v="2"/>
  </r>
  <r>
    <x v="1"/>
  </r>
  <r>
    <x v="1"/>
  </r>
  <r>
    <x v="0"/>
  </r>
  <r>
    <x v="0"/>
  </r>
  <r>
    <x v="1"/>
  </r>
  <r>
    <x v="1"/>
  </r>
  <r>
    <x v="1"/>
  </r>
  <r>
    <x v="0"/>
  </r>
  <r>
    <x v="1"/>
  </r>
  <r>
    <x v="0"/>
  </r>
  <r>
    <x v="2"/>
  </r>
  <r>
    <x v="2"/>
  </r>
  <r>
    <x v="1"/>
  </r>
  <r>
    <x v="1"/>
  </r>
  <r>
    <x v="0"/>
  </r>
  <r>
    <x v="1"/>
  </r>
  <r>
    <x v="1"/>
  </r>
  <r>
    <x v="1"/>
  </r>
  <r>
    <x v="0"/>
  </r>
  <r>
    <x v="1"/>
  </r>
  <r>
    <x v="1"/>
  </r>
  <r>
    <x v="1"/>
  </r>
  <r>
    <x v="0"/>
  </r>
  <r>
    <x v="1"/>
  </r>
  <r>
    <x v="1"/>
  </r>
  <r>
    <x v="1"/>
  </r>
  <r>
    <x v="2"/>
  </r>
  <r>
    <x v="0"/>
  </r>
  <r>
    <x v="0"/>
  </r>
  <r>
    <x v="0"/>
  </r>
  <r>
    <x v="1"/>
  </r>
  <r>
    <x v="2"/>
  </r>
  <r>
    <x v="1"/>
  </r>
  <r>
    <x v="0"/>
  </r>
  <r>
    <x v="1"/>
  </r>
  <r>
    <x v="0"/>
  </r>
  <r>
    <x v="1"/>
  </r>
  <r>
    <x v="0"/>
  </r>
  <r>
    <x v="2"/>
  </r>
  <r>
    <x v="1"/>
  </r>
  <r>
    <x v="2"/>
  </r>
  <r>
    <x v="0"/>
  </r>
  <r>
    <x v="3"/>
  </r>
  <r>
    <x v="4"/>
  </r>
  <r>
    <x v="3"/>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7BBE7-AEF5-41A1-9F56-C853950692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4" firstHeaderRow="1" firstDataRow="1" firstDataCol="1"/>
  <pivotFields count="18">
    <pivotField showAll="0"/>
    <pivotField showAll="0"/>
    <pivotField numFmtId="14" showAll="0"/>
    <pivotField showAll="0">
      <items count="6">
        <item x="2"/>
        <item x="3"/>
        <item x="1"/>
        <item x="0"/>
        <item x="4"/>
        <item t="default"/>
      </items>
    </pivotField>
    <pivotField showAll="0"/>
    <pivotField showAll="0"/>
    <pivotField showAll="0"/>
    <pivotField axis="axisRow" showAll="0">
      <items count="6">
        <item x="2"/>
        <item x="0"/>
        <item x="4"/>
        <item x="3"/>
        <item x="1"/>
        <item t="default"/>
      </items>
    </pivotField>
    <pivotField showAll="0"/>
    <pivotField showAll="0">
      <items count="4">
        <item x="0"/>
        <item x="1"/>
        <item x="2"/>
        <item t="default"/>
      </items>
    </pivotField>
    <pivotField showAll="0">
      <items count="10">
        <item h="1" x="2"/>
        <item h="1" x="8"/>
        <item x="3"/>
        <item h="1" x="7"/>
        <item h="1" x="6"/>
        <item h="1" x="1"/>
        <item h="1" x="4"/>
        <item h="1" x="5"/>
        <item h="1" x="0"/>
        <item t="default"/>
      </items>
    </pivotField>
    <pivotField showAll="0"/>
    <pivotField showAll="0"/>
    <pivotField showAll="0"/>
    <pivotField dataField="1" numFmtId="10" showAll="0"/>
    <pivotField numFmtId="164" showAll="0"/>
    <pivotField showAll="0"/>
    <pivotField showAll="0"/>
  </pivotFields>
  <rowFields count="1">
    <field x="7"/>
  </rowFields>
  <rowItems count="6">
    <i>
      <x/>
    </i>
    <i>
      <x v="1"/>
    </i>
    <i>
      <x v="2"/>
    </i>
    <i>
      <x v="3"/>
    </i>
    <i>
      <x v="4"/>
    </i>
    <i t="grand">
      <x/>
    </i>
  </rowItems>
  <colItems count="1">
    <i/>
  </colItems>
  <dataFields count="1">
    <dataField name="Average of Discount" fld="14" subtotal="average" baseField="6" baseItem="0" numFmtId="10"/>
  </dataFields>
  <chartFormats count="1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3"/>
          </reference>
        </references>
      </pivotArea>
    </chartFormat>
    <chartFormat chart="2" format="10">
      <pivotArea type="data" outline="0" fieldPosition="0">
        <references count="2">
          <reference field="4294967294" count="1" selected="0">
            <x v="0"/>
          </reference>
          <reference field="7" count="1" selected="0">
            <x v="4"/>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E6AD1-25F7-46EB-9C3C-D72F5EAADC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8">
    <pivotField showAll="0"/>
    <pivotField showAll="0"/>
    <pivotField numFmtId="14" showAll="0"/>
    <pivotField showAll="0">
      <items count="6">
        <item x="2"/>
        <item x="3"/>
        <item x="1"/>
        <item x="0"/>
        <item x="4"/>
        <item t="default"/>
      </items>
    </pivotField>
    <pivotField showAll="0"/>
    <pivotField showAll="0"/>
    <pivotField showAll="0"/>
    <pivotField showAll="0"/>
    <pivotField showAll="0"/>
    <pivotField showAll="0">
      <items count="4">
        <item x="0"/>
        <item x="1"/>
        <item x="2"/>
        <item t="default"/>
      </items>
    </pivotField>
    <pivotField axis="axisRow" showAll="0">
      <items count="10">
        <item h="1" x="2"/>
        <item h="1" x="8"/>
        <item x="3"/>
        <item h="1" x="7"/>
        <item h="1" x="6"/>
        <item h="1" x="1"/>
        <item h="1" x="4"/>
        <item h="1" x="5"/>
        <item h="1" x="0"/>
        <item t="default"/>
      </items>
    </pivotField>
    <pivotField showAll="0"/>
    <pivotField showAll="0"/>
    <pivotField showAll="0"/>
    <pivotField numFmtId="10" showAll="0"/>
    <pivotField dataField="1" numFmtId="164" showAll="0"/>
    <pivotField showAll="0"/>
    <pivotField showAll="0"/>
  </pivotFields>
  <rowFields count="1">
    <field x="10"/>
  </rowFields>
  <rowItems count="2">
    <i>
      <x v="2"/>
    </i>
    <i t="grand">
      <x/>
    </i>
  </rowItems>
  <colItems count="1">
    <i/>
  </colItems>
  <dataFields count="1">
    <dataField name="Sum of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22736B-BD38-479E-AD1F-B2F784917CF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 firstHeaderRow="1" firstDataRow="1" firstDataCol="1"/>
  <pivotFields count="18">
    <pivotField showAll="0"/>
    <pivotField showAll="0"/>
    <pivotField numFmtId="14" showAll="0"/>
    <pivotField showAll="0">
      <items count="6">
        <item x="2"/>
        <item x="3"/>
        <item x="1"/>
        <item x="0"/>
        <item x="4"/>
        <item t="default"/>
      </items>
    </pivotField>
    <pivotField showAll="0"/>
    <pivotField showAll="0"/>
    <pivotField showAll="0"/>
    <pivotField showAll="0"/>
    <pivotField showAll="0"/>
    <pivotField showAll="0">
      <items count="4">
        <item x="0"/>
        <item x="1"/>
        <item x="2"/>
        <item t="default"/>
      </items>
    </pivotField>
    <pivotField axis="axisRow" showAll="0">
      <items count="10">
        <item h="1" x="2"/>
        <item h="1" x="8"/>
        <item x="3"/>
        <item h="1" x="7"/>
        <item h="1" x="6"/>
        <item h="1" x="1"/>
        <item h="1" x="4"/>
        <item h="1" x="5"/>
        <item h="1" x="0"/>
        <item t="default"/>
      </items>
    </pivotField>
    <pivotField showAll="0"/>
    <pivotField dataField="1" showAll="0"/>
    <pivotField showAll="0"/>
    <pivotField numFmtId="10" showAll="0"/>
    <pivotField numFmtId="164" showAll="0"/>
    <pivotField showAll="0"/>
    <pivotField showAll="0"/>
  </pivotFields>
  <rowFields count="1">
    <field x="10"/>
  </rowFields>
  <rowItems count="2">
    <i>
      <x v="2"/>
    </i>
    <i t="grand">
      <x/>
    </i>
  </rowItems>
  <colItems count="1">
    <i/>
  </colItems>
  <dataFields count="1">
    <dataField name="Sum of Sales" fld="12"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852185-BE80-4378-A677-D346BEBC6B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8">
    <pivotField showAll="0"/>
    <pivotField showAll="0"/>
    <pivotField numFmtId="14" showAll="0"/>
    <pivotField showAll="0">
      <items count="6">
        <item x="2"/>
        <item x="3"/>
        <item x="1"/>
        <item x="0"/>
        <item x="4"/>
        <item t="default"/>
      </items>
    </pivotField>
    <pivotField showAll="0"/>
    <pivotField showAll="0"/>
    <pivotField showAll="0"/>
    <pivotField showAll="0"/>
    <pivotField axis="axisRow" showAll="0" measureFilter="1" sortType="descending">
      <items count="9">
        <item x="5"/>
        <item x="4"/>
        <item x="6"/>
        <item x="0"/>
        <item x="7"/>
        <item x="1"/>
        <item x="2"/>
        <item x="3"/>
        <item t="default"/>
      </items>
    </pivotField>
    <pivotField showAll="0">
      <items count="4">
        <item x="0"/>
        <item x="1"/>
        <item x="2"/>
        <item t="default"/>
      </items>
    </pivotField>
    <pivotField showAll="0">
      <items count="10">
        <item h="1" x="2"/>
        <item h="1" x="8"/>
        <item x="3"/>
        <item h="1" x="7"/>
        <item h="1" x="6"/>
        <item h="1" x="1"/>
        <item h="1" x="4"/>
        <item h="1" x="5"/>
        <item h="1" x="0"/>
        <item t="default"/>
      </items>
    </pivotField>
    <pivotField showAll="0"/>
    <pivotField dataField="1" showAll="0"/>
    <pivotField showAll="0"/>
    <pivotField numFmtId="10" showAll="0"/>
    <pivotField numFmtId="164" showAll="0"/>
    <pivotField showAll="0"/>
    <pivotField showAll="0"/>
  </pivotFields>
  <rowFields count="1">
    <field x="8"/>
  </rowFields>
  <rowItems count="9">
    <i>
      <x/>
    </i>
    <i>
      <x v="1"/>
    </i>
    <i>
      <x v="2"/>
    </i>
    <i>
      <x v="3"/>
    </i>
    <i>
      <x v="4"/>
    </i>
    <i>
      <x v="5"/>
    </i>
    <i>
      <x v="6"/>
    </i>
    <i>
      <x v="7"/>
    </i>
    <i t="grand">
      <x/>
    </i>
  </rowItems>
  <colItems count="1">
    <i/>
  </colItems>
  <dataFields count="1">
    <dataField name="Sum of Sales" fld="12" baseField="7"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69FF23-F335-4E94-A266-324FC4EF221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F24" firstHeaderRow="0" firstDataRow="1" firstDataCol="1"/>
  <pivotFields count="18">
    <pivotField showAll="0"/>
    <pivotField showAll="0"/>
    <pivotField numFmtId="14" showAll="0"/>
    <pivotField showAll="0">
      <items count="6">
        <item x="2"/>
        <item x="3"/>
        <item x="1"/>
        <item x="0"/>
        <item x="4"/>
        <item t="default"/>
      </items>
    </pivotField>
    <pivotField showAll="0"/>
    <pivotField showAll="0"/>
    <pivotField showAll="0"/>
    <pivotField axis="axisRow" showAll="0">
      <items count="6">
        <item x="2"/>
        <item x="0"/>
        <item x="4"/>
        <item x="3"/>
        <item x="1"/>
        <item t="default"/>
      </items>
    </pivotField>
    <pivotField showAll="0"/>
    <pivotField showAll="0">
      <items count="4">
        <item x="0"/>
        <item x="1"/>
        <item x="2"/>
        <item t="default"/>
      </items>
    </pivotField>
    <pivotField showAll="0">
      <items count="10">
        <item h="1" x="2"/>
        <item h="1" x="8"/>
        <item x="3"/>
        <item h="1" x="7"/>
        <item h="1" x="6"/>
        <item h="1" x="1"/>
        <item h="1" x="4"/>
        <item h="1" x="5"/>
        <item h="1" x="0"/>
        <item t="default"/>
      </items>
    </pivotField>
    <pivotField showAll="0"/>
    <pivotField showAll="0"/>
    <pivotField showAll="0"/>
    <pivotField dataField="1" numFmtId="10" showAll="0"/>
    <pivotField dataField="1" numFmtId="164" showAll="0"/>
    <pivotField showAll="0"/>
    <pivotField showAll="0"/>
  </pivotFields>
  <rowFields count="1">
    <field x="7"/>
  </rowFields>
  <rowItems count="6">
    <i>
      <x/>
    </i>
    <i>
      <x v="1"/>
    </i>
    <i>
      <x v="2"/>
    </i>
    <i>
      <x v="3"/>
    </i>
    <i>
      <x v="4"/>
    </i>
    <i t="grand">
      <x/>
    </i>
  </rowItems>
  <colFields count="1">
    <field x="-2"/>
  </colFields>
  <colItems count="2">
    <i>
      <x/>
    </i>
    <i i="1">
      <x v="1"/>
    </i>
  </colItems>
  <dataFields count="2">
    <dataField name="Average of Discount" fld="14" subtotal="average" baseField="6" baseItem="1" numFmtId="10"/>
    <dataField name="Sum of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DF2388-D43C-402E-BE73-3F7370E1C72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rowPageCount="1" colPageCount="1"/>
  <pivotFields count="18">
    <pivotField showAll="0"/>
    <pivotField showAll="0"/>
    <pivotField numFmtId="14" showAll="0"/>
    <pivotField axis="axisPage" multipleItemSelectionAllowed="1" showAll="0">
      <items count="6">
        <item x="2"/>
        <item x="3"/>
        <item x="1"/>
        <item x="0"/>
        <item x="4"/>
        <item t="default"/>
      </items>
    </pivotField>
    <pivotField axis="axisRow" showAll="0">
      <items count="13">
        <item x="0"/>
        <item x="6"/>
        <item x="10"/>
        <item x="1"/>
        <item x="8"/>
        <item x="3"/>
        <item x="7"/>
        <item x="2"/>
        <item x="11"/>
        <item x="4"/>
        <item x="5"/>
        <item x="9"/>
        <item t="default"/>
      </items>
    </pivotField>
    <pivotField showAll="0"/>
    <pivotField showAll="0"/>
    <pivotField showAll="0"/>
    <pivotField showAll="0"/>
    <pivotField showAll="0">
      <items count="4">
        <item x="0"/>
        <item x="1"/>
        <item x="2"/>
        <item t="default"/>
      </items>
    </pivotField>
    <pivotField showAll="0">
      <items count="10">
        <item h="1" x="2"/>
        <item h="1" x="8"/>
        <item x="3"/>
        <item h="1" x="7"/>
        <item h="1" x="6"/>
        <item h="1" x="1"/>
        <item h="1" x="4"/>
        <item h="1" x="5"/>
        <item h="1" x="0"/>
        <item t="default"/>
      </items>
    </pivotField>
    <pivotField showAll="0"/>
    <pivotField dataField="1" showAll="0">
      <items count="948">
        <item x="728"/>
        <item x="225"/>
        <item x="682"/>
        <item x="326"/>
        <item x="691"/>
        <item x="384"/>
        <item x="792"/>
        <item x="600"/>
        <item x="393"/>
        <item x="879"/>
        <item x="355"/>
        <item x="70"/>
        <item x="505"/>
        <item x="755"/>
        <item x="690"/>
        <item x="64"/>
        <item x="923"/>
        <item x="322"/>
        <item x="173"/>
        <item x="827"/>
        <item x="221"/>
        <item x="128"/>
        <item x="147"/>
        <item x="146"/>
        <item x="205"/>
        <item x="780"/>
        <item x="193"/>
        <item x="447"/>
        <item x="66"/>
        <item x="905"/>
        <item x="386"/>
        <item x="365"/>
        <item x="10"/>
        <item x="736"/>
        <item x="415"/>
        <item x="130"/>
        <item x="30"/>
        <item x="900"/>
        <item x="351"/>
        <item x="209"/>
        <item x="640"/>
        <item x="509"/>
        <item x="822"/>
        <item x="935"/>
        <item x="726"/>
        <item x="283"/>
        <item x="836"/>
        <item x="410"/>
        <item x="267"/>
        <item x="354"/>
        <item x="440"/>
        <item x="857"/>
        <item x="591"/>
        <item x="557"/>
        <item x="699"/>
        <item x="577"/>
        <item x="481"/>
        <item x="561"/>
        <item x="316"/>
        <item x="359"/>
        <item x="342"/>
        <item x="240"/>
        <item x="802"/>
        <item x="121"/>
        <item x="630"/>
        <item x="831"/>
        <item x="670"/>
        <item x="747"/>
        <item x="304"/>
        <item x="279"/>
        <item x="433"/>
        <item x="264"/>
        <item x="498"/>
        <item x="727"/>
        <item x="45"/>
        <item x="411"/>
        <item x="941"/>
        <item x="913"/>
        <item x="461"/>
        <item x="734"/>
        <item x="514"/>
        <item x="361"/>
        <item x="668"/>
        <item x="253"/>
        <item x="553"/>
        <item x="532"/>
        <item x="491"/>
        <item x="897"/>
        <item x="333"/>
        <item x="207"/>
        <item x="500"/>
        <item x="537"/>
        <item x="362"/>
        <item x="599"/>
        <item x="218"/>
        <item x="179"/>
        <item x="798"/>
        <item x="898"/>
        <item x="148"/>
        <item x="204"/>
        <item x="263"/>
        <item x="724"/>
        <item x="635"/>
        <item x="199"/>
        <item x="671"/>
        <item x="607"/>
        <item x="864"/>
        <item x="29"/>
        <item x="533"/>
        <item x="773"/>
        <item x="753"/>
        <item x="428"/>
        <item x="763"/>
        <item x="762"/>
        <item x="564"/>
        <item x="190"/>
        <item x="633"/>
        <item x="159"/>
        <item x="91"/>
        <item x="693"/>
        <item x="394"/>
        <item x="255"/>
        <item x="570"/>
        <item x="290"/>
        <item x="38"/>
        <item x="337"/>
        <item x="422"/>
        <item x="484"/>
        <item x="801"/>
        <item x="373"/>
        <item x="11"/>
        <item x="26"/>
        <item x="46"/>
        <item x="660"/>
        <item x="265"/>
        <item x="750"/>
        <item x="216"/>
        <item x="62"/>
        <item x="276"/>
        <item x="499"/>
        <item x="463"/>
        <item x="657"/>
        <item x="291"/>
        <item x="644"/>
        <item x="184"/>
        <item x="503"/>
        <item x="344"/>
        <item x="75"/>
        <item x="381"/>
        <item x="127"/>
        <item x="716"/>
        <item x="921"/>
        <item x="420"/>
        <item x="841"/>
        <item x="151"/>
        <item x="816"/>
        <item x="21"/>
        <item x="187"/>
        <item x="79"/>
        <item x="257"/>
        <item x="865"/>
        <item x="797"/>
        <item x="298"/>
        <item x="710"/>
        <item x="833"/>
        <item x="653"/>
        <item x="811"/>
        <item x="700"/>
        <item x="167"/>
        <item x="612"/>
        <item x="943"/>
        <item x="730"/>
        <item x="482"/>
        <item x="942"/>
        <item x="455"/>
        <item x="573"/>
        <item x="924"/>
        <item x="862"/>
        <item x="758"/>
        <item x="119"/>
        <item x="890"/>
        <item x="436"/>
        <item x="182"/>
        <item x="8"/>
        <item x="829"/>
        <item x="929"/>
        <item x="575"/>
        <item x="101"/>
        <item x="510"/>
        <item x="232"/>
        <item x="927"/>
        <item x="546"/>
        <item x="24"/>
        <item x="155"/>
        <item x="235"/>
        <item x="603"/>
        <item x="567"/>
        <item x="401"/>
        <item x="497"/>
        <item x="93"/>
        <item x="569"/>
        <item x="254"/>
        <item x="251"/>
        <item x="43"/>
        <item x="832"/>
        <item x="766"/>
        <item x="244"/>
        <item x="808"/>
        <item x="219"/>
        <item x="321"/>
        <item x="467"/>
        <item x="672"/>
        <item x="368"/>
        <item x="598"/>
        <item x="34"/>
        <item x="63"/>
        <item x="578"/>
        <item x="735"/>
        <item x="605"/>
        <item x="871"/>
        <item x="89"/>
        <item x="579"/>
        <item x="868"/>
        <item x="33"/>
        <item x="239"/>
        <item x="53"/>
        <item x="883"/>
        <item x="601"/>
        <item x="138"/>
        <item x="539"/>
        <item x="376"/>
        <item x="679"/>
        <item x="604"/>
        <item x="593"/>
        <item x="847"/>
        <item x="588"/>
        <item x="678"/>
        <item x="655"/>
        <item x="849"/>
        <item x="67"/>
        <item x="106"/>
        <item x="810"/>
        <item x="390"/>
        <item x="40"/>
        <item x="418"/>
        <item x="777"/>
        <item x="340"/>
        <item x="666"/>
        <item x="98"/>
        <item x="800"/>
        <item x="721"/>
        <item x="528"/>
        <item x="804"/>
        <item x="1"/>
        <item x="439"/>
        <item x="527"/>
        <item x="659"/>
        <item x="332"/>
        <item x="471"/>
        <item x="574"/>
        <item x="885"/>
        <item x="863"/>
        <item x="226"/>
        <item x="887"/>
        <item x="784"/>
        <item x="172"/>
        <item x="765"/>
        <item x="934"/>
        <item x="456"/>
        <item x="405"/>
        <item x="775"/>
        <item x="544"/>
        <item x="589"/>
        <item x="559"/>
        <item x="486"/>
        <item x="866"/>
        <item x="278"/>
        <item x="884"/>
        <item x="444"/>
        <item x="407"/>
        <item x="198"/>
        <item x="42"/>
        <item x="399"/>
        <item x="357"/>
        <item x="838"/>
        <item x="584"/>
        <item x="421"/>
        <item x="366"/>
        <item x="139"/>
        <item x="281"/>
        <item x="383"/>
        <item x="312"/>
        <item x="272"/>
        <item x="353"/>
        <item x="318"/>
        <item x="58"/>
        <item x="297"/>
        <item x="22"/>
        <item x="191"/>
        <item x="705"/>
        <item x="519"/>
        <item x="4"/>
        <item x="154"/>
        <item x="19"/>
        <item x="125"/>
        <item x="568"/>
        <item x="936"/>
        <item x="583"/>
        <item x="149"/>
        <item x="311"/>
        <item x="163"/>
        <item x="0"/>
        <item x="375"/>
        <item x="413"/>
        <item x="231"/>
        <item x="2"/>
        <item x="108"/>
        <item x="756"/>
        <item x="233"/>
        <item x="460"/>
        <item x="419"/>
        <item x="220"/>
        <item x="143"/>
        <item x="819"/>
        <item x="493"/>
        <item x="525"/>
        <item x="228"/>
        <item x="881"/>
        <item x="36"/>
        <item x="899"/>
        <item x="295"/>
        <item x="57"/>
        <item x="483"/>
        <item x="694"/>
        <item x="677"/>
        <item x="51"/>
        <item x="32"/>
        <item x="818"/>
        <item x="195"/>
        <item x="452"/>
        <item x="181"/>
        <item x="945"/>
        <item x="476"/>
        <item x="288"/>
        <item x="110"/>
        <item x="908"/>
        <item x="663"/>
        <item x="683"/>
        <item x="286"/>
        <item x="374"/>
        <item x="380"/>
        <item x="473"/>
        <item x="901"/>
        <item x="860"/>
        <item x="680"/>
        <item x="23"/>
        <item x="192"/>
        <item x="315"/>
        <item x="363"/>
        <item x="398"/>
        <item x="785"/>
        <item x="369"/>
        <item x="65"/>
        <item x="542"/>
        <item x="203"/>
        <item x="270"/>
        <item x="880"/>
        <item x="746"/>
        <item x="39"/>
        <item x="341"/>
        <item x="891"/>
        <item x="685"/>
        <item x="794"/>
        <item x="867"/>
        <item x="69"/>
        <item x="206"/>
        <item x="840"/>
        <item x="507"/>
        <item x="545"/>
        <item x="637"/>
        <item x="608"/>
        <item x="450"/>
        <item x="807"/>
        <item x="412"/>
        <item x="323"/>
        <item x="474"/>
        <item x="329"/>
        <item x="25"/>
        <item x="241"/>
        <item x="646"/>
        <item x="745"/>
        <item x="175"/>
        <item x="266"/>
        <item x="169"/>
        <item x="293"/>
        <item x="300"/>
        <item x="828"/>
        <item x="844"/>
        <item x="387"/>
        <item x="688"/>
        <item x="549"/>
        <item x="391"/>
        <item x="284"/>
        <item x="566"/>
        <item x="858"/>
        <item x="41"/>
        <item x="541"/>
        <item x="548"/>
        <item x="478"/>
        <item x="621"/>
        <item x="873"/>
        <item x="131"/>
        <item x="404"/>
        <item x="294"/>
        <item x="757"/>
        <item x="870"/>
        <item x="695"/>
        <item x="725"/>
        <item x="687"/>
        <item x="80"/>
        <item x="754"/>
        <item x="137"/>
        <item x="72"/>
        <item x="651"/>
        <item x="396"/>
        <item x="594"/>
        <item x="520"/>
        <item x="854"/>
        <item x="485"/>
        <item x="652"/>
        <item x="83"/>
        <item x="717"/>
        <item x="708"/>
        <item x="117"/>
        <item x="848"/>
        <item x="681"/>
        <item x="627"/>
        <item x="835"/>
        <item x="188"/>
        <item x="196"/>
        <item x="371"/>
        <item x="183"/>
        <item x="902"/>
        <item x="107"/>
        <item x="313"/>
        <item x="876"/>
        <item x="904"/>
        <item x="597"/>
        <item x="939"/>
        <item x="662"/>
        <item x="423"/>
        <item x="223"/>
        <item x="136"/>
        <item x="926"/>
        <item x="656"/>
        <item x="145"/>
        <item x="94"/>
        <item x="723"/>
        <item x="202"/>
        <item x="259"/>
        <item x="852"/>
        <item x="501"/>
        <item x="555"/>
        <item x="389"/>
        <item x="565"/>
        <item x="156"/>
        <item x="647"/>
        <item x="256"/>
        <item x="511"/>
        <item x="310"/>
        <item x="9"/>
        <item x="372"/>
        <item x="97"/>
        <item x="189"/>
        <item x="874"/>
        <item x="632"/>
        <item x="180"/>
        <item x="645"/>
        <item x="438"/>
        <item x="480"/>
        <item x="402"/>
        <item x="90"/>
        <item x="141"/>
        <item x="258"/>
        <item x="424"/>
        <item x="446"/>
        <item x="168"/>
        <item x="770"/>
        <item x="842"/>
        <item x="487"/>
        <item x="429"/>
        <item x="319"/>
        <item x="707"/>
        <item x="194"/>
        <item x="133"/>
        <item x="643"/>
        <item x="664"/>
        <item x="837"/>
        <item x="940"/>
        <item x="878"/>
        <item x="367"/>
        <item x="261"/>
        <item x="385"/>
        <item x="524"/>
        <item x="513"/>
        <item x="262"/>
        <item x="611"/>
        <item x="490"/>
        <item x="892"/>
        <item x="786"/>
        <item x="571"/>
        <item x="229"/>
        <item x="701"/>
        <item x="409"/>
        <item x="906"/>
        <item x="769"/>
        <item x="116"/>
        <item x="748"/>
        <item x="839"/>
        <item x="95"/>
        <item x="547"/>
        <item x="140"/>
        <item x="27"/>
        <item x="523"/>
        <item x="886"/>
        <item x="86"/>
        <item x="345"/>
        <item x="938"/>
        <item x="158"/>
        <item x="815"/>
        <item x="307"/>
        <item x="468"/>
        <item x="759"/>
        <item x="706"/>
        <item x="99"/>
        <item x="280"/>
        <item x="638"/>
        <item x="790"/>
        <item x="592"/>
        <item x="105"/>
        <item x="186"/>
        <item x="52"/>
        <item x="157"/>
        <item x="289"/>
        <item x="339"/>
        <item x="152"/>
        <item x="165"/>
        <item x="308"/>
        <item x="268"/>
        <item x="615"/>
        <item x="538"/>
        <item x="760"/>
        <item x="550"/>
        <item x="50"/>
        <item x="774"/>
        <item x="406"/>
        <item x="494"/>
        <item x="68"/>
        <item x="334"/>
        <item x="328"/>
        <item x="227"/>
        <item x="946"/>
        <item x="5"/>
        <item x="269"/>
        <item x="448"/>
        <item x="224"/>
        <item x="620"/>
        <item x="395"/>
        <item x="933"/>
        <item x="103"/>
        <item x="709"/>
        <item x="325"/>
        <item x="779"/>
        <item x="348"/>
        <item x="907"/>
        <item x="31"/>
        <item x="360"/>
        <item x="302"/>
        <item x="711"/>
        <item x="914"/>
        <item x="153"/>
        <item x="309"/>
        <item x="135"/>
        <item x="427"/>
        <item x="18"/>
        <item x="823"/>
        <item x="109"/>
        <item x="661"/>
        <item x="741"/>
        <item x="896"/>
        <item x="684"/>
        <item x="49"/>
        <item x="246"/>
        <item x="733"/>
        <item x="299"/>
        <item x="414"/>
        <item x="78"/>
        <item x="882"/>
        <item x="920"/>
        <item x="129"/>
        <item x="171"/>
        <item x="751"/>
        <item x="212"/>
        <item x="692"/>
        <item x="275"/>
        <item x="85"/>
        <item x="714"/>
        <item x="554"/>
        <item x="6"/>
        <item x="530"/>
        <item x="581"/>
        <item x="674"/>
        <item x="55"/>
        <item x="111"/>
        <item x="543"/>
        <item x="768"/>
        <item x="324"/>
        <item x="806"/>
        <item x="408"/>
        <item x="296"/>
        <item x="824"/>
        <item x="425"/>
        <item x="464"/>
        <item x="877"/>
        <item x="634"/>
        <item x="613"/>
        <item x="846"/>
        <item x="197"/>
        <item x="843"/>
        <item x="459"/>
        <item x="453"/>
        <item x="416"/>
        <item x="496"/>
        <item x="343"/>
        <item x="217"/>
        <item x="347"/>
        <item x="162"/>
        <item x="580"/>
        <item x="515"/>
        <item x="292"/>
        <item x="830"/>
        <item x="778"/>
        <item x="912"/>
        <item x="88"/>
        <item x="120"/>
        <item x="13"/>
        <item x="641"/>
        <item x="160"/>
        <item x="104"/>
        <item x="744"/>
        <item x="628"/>
        <item x="237"/>
        <item x="931"/>
        <item x="648"/>
        <item x="911"/>
        <item x="17"/>
        <item x="442"/>
        <item x="558"/>
        <item x="118"/>
        <item x="457"/>
        <item x="919"/>
        <item x="563"/>
        <item x="626"/>
        <item x="606"/>
        <item x="767"/>
        <item x="799"/>
        <item x="426"/>
        <item x="673"/>
        <item x="665"/>
        <item x="377"/>
        <item x="508"/>
        <item x="114"/>
        <item x="37"/>
        <item x="274"/>
        <item x="142"/>
        <item x="314"/>
        <item x="781"/>
        <item x="48"/>
        <item x="77"/>
        <item x="252"/>
        <item x="749"/>
        <item x="479"/>
        <item x="787"/>
        <item x="937"/>
        <item x="875"/>
        <item x="320"/>
        <item x="230"/>
        <item x="61"/>
        <item x="243"/>
        <item x="859"/>
        <item x="556"/>
        <item x="378"/>
        <item x="331"/>
        <item x="903"/>
        <item x="667"/>
        <item x="465"/>
        <item x="771"/>
        <item x="176"/>
        <item x="791"/>
        <item x="853"/>
        <item x="150"/>
        <item x="273"/>
        <item x="704"/>
        <item x="720"/>
        <item x="917"/>
        <item x="856"/>
        <item x="820"/>
        <item x="596"/>
        <item x="44"/>
        <item x="742"/>
        <item x="642"/>
        <item x="928"/>
        <item x="12"/>
        <item x="356"/>
        <item x="122"/>
        <item x="586"/>
        <item x="850"/>
        <item x="282"/>
        <item x="211"/>
        <item x="675"/>
        <item x="789"/>
        <item x="403"/>
        <item x="713"/>
        <item x="458"/>
        <item x="115"/>
        <item x="855"/>
        <item x="488"/>
        <item x="352"/>
        <item x="123"/>
        <item x="144"/>
        <item x="698"/>
        <item x="576"/>
        <item x="614"/>
        <item x="536"/>
        <item x="238"/>
        <item x="35"/>
        <item x="161"/>
        <item x="16"/>
        <item x="793"/>
        <item x="930"/>
        <item x="752"/>
        <item x="743"/>
        <item x="944"/>
        <item x="697"/>
        <item x="872"/>
        <item x="916"/>
        <item x="388"/>
        <item x="76"/>
        <item x="462"/>
        <item x="335"/>
        <item x="20"/>
        <item x="164"/>
        <item x="306"/>
        <item x="739"/>
        <item x="616"/>
        <item x="60"/>
        <item x="562"/>
        <item x="610"/>
        <item x="112"/>
        <item x="245"/>
        <item x="502"/>
        <item x="669"/>
        <item x="551"/>
        <item x="349"/>
        <item x="358"/>
        <item x="185"/>
        <item x="686"/>
        <item x="821"/>
        <item x="477"/>
        <item x="492"/>
        <item x="126"/>
        <item x="81"/>
        <item x="346"/>
        <item x="534"/>
        <item x="214"/>
        <item x="441"/>
        <item x="466"/>
        <item x="719"/>
        <item x="15"/>
        <item x="622"/>
        <item x="888"/>
        <item x="443"/>
        <item x="336"/>
        <item x="560"/>
        <item x="812"/>
        <item x="572"/>
        <item x="623"/>
        <item x="676"/>
        <item x="82"/>
        <item x="826"/>
        <item x="87"/>
        <item x="431"/>
        <item x="201"/>
        <item x="472"/>
        <item x="54"/>
        <item x="247"/>
        <item x="379"/>
        <item x="718"/>
        <item x="392"/>
        <item x="803"/>
        <item x="531"/>
        <item x="330"/>
        <item x="869"/>
        <item x="595"/>
        <item x="397"/>
        <item x="102"/>
        <item x="364"/>
        <item x="96"/>
        <item x="208"/>
        <item x="432"/>
        <item x="382"/>
        <item x="582"/>
        <item x="213"/>
        <item x="305"/>
        <item x="689"/>
        <item x="434"/>
        <item x="437"/>
        <item x="650"/>
        <item x="518"/>
        <item x="845"/>
        <item x="504"/>
        <item x="132"/>
        <item x="400"/>
        <item x="772"/>
        <item x="489"/>
        <item x="338"/>
        <item x="783"/>
        <item x="722"/>
        <item x="495"/>
        <item x="47"/>
        <item x="609"/>
        <item x="84"/>
        <item x="222"/>
        <item x="922"/>
        <item x="236"/>
        <item x="449"/>
        <item x="703"/>
        <item x="522"/>
        <item x="74"/>
        <item x="124"/>
        <item x="469"/>
        <item x="732"/>
        <item x="788"/>
        <item x="260"/>
        <item x="249"/>
        <item x="417"/>
        <item x="535"/>
        <item x="731"/>
        <item x="590"/>
        <item x="893"/>
        <item x="851"/>
        <item x="445"/>
        <item x="918"/>
        <item x="602"/>
        <item x="430"/>
        <item x="303"/>
        <item x="932"/>
        <item x="894"/>
        <item x="861"/>
        <item x="277"/>
        <item x="809"/>
        <item x="526"/>
        <item x="71"/>
        <item x="617"/>
        <item x="370"/>
        <item x="271"/>
        <item x="738"/>
        <item x="248"/>
        <item x="234"/>
        <item x="729"/>
        <item x="113"/>
        <item x="517"/>
        <item x="317"/>
        <item x="14"/>
        <item x="174"/>
        <item x="454"/>
        <item x="782"/>
        <item x="817"/>
        <item x="654"/>
        <item x="737"/>
        <item x="521"/>
        <item x="658"/>
        <item x="825"/>
        <item x="287"/>
        <item x="177"/>
        <item x="910"/>
        <item x="776"/>
        <item x="761"/>
        <item x="625"/>
        <item x="540"/>
        <item x="475"/>
        <item x="618"/>
        <item x="636"/>
        <item x="629"/>
        <item x="512"/>
        <item x="250"/>
        <item x="56"/>
        <item x="170"/>
        <item x="814"/>
        <item x="529"/>
        <item x="796"/>
        <item x="624"/>
        <item x="764"/>
        <item x="895"/>
        <item x="506"/>
        <item x="285"/>
        <item x="795"/>
        <item x="552"/>
        <item x="639"/>
        <item x="210"/>
        <item x="7"/>
        <item x="100"/>
        <item x="585"/>
        <item x="813"/>
        <item x="470"/>
        <item x="28"/>
        <item x="215"/>
        <item x="715"/>
        <item x="649"/>
        <item x="587"/>
        <item x="134"/>
        <item x="702"/>
        <item x="631"/>
        <item x="451"/>
        <item x="327"/>
        <item x="350"/>
        <item x="696"/>
        <item x="740"/>
        <item x="73"/>
        <item x="166"/>
        <item x="909"/>
        <item x="516"/>
        <item x="805"/>
        <item x="619"/>
        <item x="925"/>
        <item x="3"/>
        <item x="834"/>
        <item x="200"/>
        <item x="889"/>
        <item x="915"/>
        <item x="301"/>
        <item x="712"/>
        <item x="435"/>
        <item x="92"/>
        <item x="178"/>
        <item x="242"/>
        <item x="59"/>
        <item t="default"/>
      </items>
    </pivotField>
    <pivotField showAll="0"/>
    <pivotField numFmtId="10" showAll="0"/>
    <pivotField dataField="1" numFmtId="164"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pageFields count="1">
    <pageField fld="3" hier="-1"/>
  </pageFields>
  <dataFields count="2">
    <dataField name="Sum of Sales" fld="12" baseField="3" baseItem="0"/>
    <dataField name="Sum of Profit" fld="15"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53A2AC-CF48-4E99-B907-F32C7705EC3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showAll="0">
      <items count="6">
        <item x="4"/>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6EA6A5-D1D6-4BD8-9073-B9C41669D3FF}" sourceName="Category">
  <pivotTables>
    <pivotTable tabId="4" name="PivotTable4"/>
    <pivotTable tabId="4" name="PivotTable3"/>
    <pivotTable tabId="4" name="PivotTable5"/>
    <pivotTable tabId="4" name="PivotTable8"/>
    <pivotTable tabId="4" name="PivotTable9"/>
    <pivotTable tabId="6" name="PivotTable11"/>
  </pivotTables>
  <data>
    <tabular pivotCacheId="448368391">
      <items count="3">
        <i x="0" s="1"/>
        <i x="1"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825B3DC-FC5B-442F-8CA6-745B5E66AC56}" sourceName="Sub-Category">
  <pivotTables>
    <pivotTable tabId="4" name="PivotTable4"/>
    <pivotTable tabId="4" name="PivotTable3"/>
    <pivotTable tabId="4" name="PivotTable5"/>
    <pivotTable tabId="4" name="PivotTable8"/>
    <pivotTable tabId="4" name="PivotTable9"/>
    <pivotTable tabId="6" name="PivotTable11"/>
  </pivotTables>
  <data>
    <tabular pivotCacheId="448368391">
      <items count="9">
        <i x="2"/>
        <i x="8"/>
        <i x="3" s="1"/>
        <i x="7"/>
        <i x="6"/>
        <i x="1"/>
        <i x="4"/>
        <i x="5"/>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2F7AB-F9ED-44D3-8B0F-20E283183823}" sourceName="YEAR">
  <pivotTables>
    <pivotTable tabId="4" name="PivotTable9"/>
    <pivotTable tabId="4" name="PivotTable3"/>
    <pivotTable tabId="4" name="PivotTable4"/>
    <pivotTable tabId="4" name="PivotTable5"/>
    <pivotTable tabId="4" name="PivotTable8"/>
    <pivotTable tabId="6" name="PivotTable11"/>
  </pivotTables>
  <data>
    <tabular pivotCacheId="448368391">
      <items count="5">
        <i x="3" s="1"/>
        <i x="1" s="1"/>
        <i x="0" s="1"/>
        <i x="4"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89B5A1-5A33-48BC-B536-C84825A4884B}" cache="Slicer_Category" caption="Category" rowHeight="273050"/>
  <slicer name="Sub-Category" xr10:uid="{0EC74C0B-CA1E-4C07-8210-ED67ED033646}" cache="Slicer_Sub_Category" caption="Sub-Category" rowHeight="273050"/>
  <slicer name="YEAR" xr10:uid="{93B92924-BA83-4A6C-B43D-35377D6EAEE1}" cache="Slicer_YEAR" caption="YEAR"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83E4E8F-0E09-4F16-A0CB-35D201E227E8}" cache="Slicer_Category" caption="Category" rowHeight="273050"/>
  <slicer name="Sub-Category 1" xr10:uid="{F4D9AE79-6A9E-40DF-A4F6-52E967EB9AA7}" cache="Slicer_Sub_Category" caption="Sub-Category" rowHeight="273050"/>
  <slicer name="YEAR 1" xr10:uid="{D7A1BA2B-C62C-49CE-B360-65517D6D1FDD}" cache="Slicer_YEAR" caption="YEAR" rowHeight="2730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FBEF-E6C2-4EA3-B920-24F5CC7C5C52}">
  <dimension ref="A3:H24"/>
  <sheetViews>
    <sheetView zoomScale="83" workbookViewId="0">
      <selection activeCell="E19" sqref="E19"/>
    </sheetView>
  </sheetViews>
  <sheetFormatPr defaultRowHeight="16" x14ac:dyDescent="0.4"/>
  <cols>
    <col min="1" max="1" width="12.75" bestFit="1" customWidth="1"/>
    <col min="2" max="2" width="17.6640625" bestFit="1" customWidth="1"/>
    <col min="3" max="3" width="14.33203125" bestFit="1" customWidth="1"/>
    <col min="4" max="4" width="12.75" bestFit="1" customWidth="1"/>
    <col min="5" max="5" width="11.6640625" bestFit="1" customWidth="1"/>
    <col min="6" max="6" width="12.5" bestFit="1" customWidth="1"/>
    <col min="7" max="7" width="12.75" bestFit="1" customWidth="1"/>
    <col min="8" max="8" width="12.5" bestFit="1" customWidth="1"/>
    <col min="9" max="9" width="13.33203125" bestFit="1" customWidth="1"/>
    <col min="11" max="11" width="8.6640625" customWidth="1"/>
    <col min="12" max="12" width="15.33203125" customWidth="1"/>
    <col min="13" max="13" width="12.6640625" customWidth="1"/>
  </cols>
  <sheetData>
    <row r="3" spans="1:8" x14ac:dyDescent="0.4">
      <c r="A3" s="26" t="s">
        <v>2006</v>
      </c>
      <c r="B3" t="s">
        <v>2009</v>
      </c>
      <c r="D3" s="26" t="s">
        <v>2006</v>
      </c>
      <c r="E3" t="s">
        <v>2009</v>
      </c>
      <c r="G3" s="26" t="s">
        <v>2006</v>
      </c>
      <c r="H3" t="s">
        <v>2007</v>
      </c>
    </row>
    <row r="4" spans="1:8" x14ac:dyDescent="0.4">
      <c r="A4" s="27" t="s">
        <v>50</v>
      </c>
      <c r="B4">
        <v>4885.17</v>
      </c>
      <c r="D4" s="27" t="s">
        <v>30</v>
      </c>
      <c r="E4">
        <v>57676.849999999991</v>
      </c>
      <c r="G4" s="27" t="s">
        <v>30</v>
      </c>
      <c r="H4" s="11">
        <v>35220.93</v>
      </c>
    </row>
    <row r="5" spans="1:8" x14ac:dyDescent="0.4">
      <c r="A5" s="27" t="s">
        <v>46</v>
      </c>
      <c r="B5">
        <v>16248.789999999999</v>
      </c>
      <c r="D5" s="27" t="s">
        <v>2008</v>
      </c>
      <c r="E5">
        <v>57676.849999999991</v>
      </c>
      <c r="G5" s="27" t="s">
        <v>2008</v>
      </c>
      <c r="H5" s="11">
        <v>35220.93</v>
      </c>
    </row>
    <row r="6" spans="1:8" x14ac:dyDescent="0.4">
      <c r="A6" s="27" t="s">
        <v>53</v>
      </c>
      <c r="B6">
        <v>5469.4</v>
      </c>
    </row>
    <row r="7" spans="1:8" x14ac:dyDescent="0.4">
      <c r="A7" s="27" t="s">
        <v>13</v>
      </c>
      <c r="B7">
        <v>5236.47</v>
      </c>
    </row>
    <row r="8" spans="1:8" x14ac:dyDescent="0.4">
      <c r="A8" s="27" t="s">
        <v>59</v>
      </c>
      <c r="B8">
        <v>4167.72</v>
      </c>
    </row>
    <row r="9" spans="1:8" x14ac:dyDescent="0.4">
      <c r="A9" s="27" t="s">
        <v>18</v>
      </c>
      <c r="B9">
        <v>8969.7100000000009</v>
      </c>
    </row>
    <row r="10" spans="1:8" x14ac:dyDescent="0.4">
      <c r="A10" s="27" t="s">
        <v>24</v>
      </c>
      <c r="B10">
        <v>6332.39</v>
      </c>
    </row>
    <row r="11" spans="1:8" x14ac:dyDescent="0.4">
      <c r="A11" s="27" t="s">
        <v>29</v>
      </c>
      <c r="B11">
        <v>6367.1999999999989</v>
      </c>
    </row>
    <row r="12" spans="1:8" x14ac:dyDescent="0.4">
      <c r="A12" s="27" t="s">
        <v>2008</v>
      </c>
      <c r="B12">
        <v>57676.85</v>
      </c>
    </row>
    <row r="18" spans="1:6" x14ac:dyDescent="0.4">
      <c r="A18" s="26" t="s">
        <v>2006</v>
      </c>
      <c r="B18" t="s">
        <v>2010</v>
      </c>
      <c r="D18" s="26" t="s">
        <v>2006</v>
      </c>
      <c r="E18" t="s">
        <v>2010</v>
      </c>
      <c r="F18" t="s">
        <v>2007</v>
      </c>
    </row>
    <row r="19" spans="1:6" x14ac:dyDescent="0.4">
      <c r="A19" s="27" t="s">
        <v>23</v>
      </c>
      <c r="B19" s="7">
        <v>0.26045454545454549</v>
      </c>
      <c r="D19" s="27" t="s">
        <v>23</v>
      </c>
      <c r="E19" s="7">
        <v>0.26045454545454549</v>
      </c>
      <c r="F19" s="11">
        <v>8714.7500000000018</v>
      </c>
    </row>
    <row r="20" spans="1:6" x14ac:dyDescent="0.4">
      <c r="A20" s="27" t="s">
        <v>1986</v>
      </c>
      <c r="B20" s="7">
        <v>0.28821428571428581</v>
      </c>
      <c r="D20" s="27" t="s">
        <v>1986</v>
      </c>
      <c r="E20" s="7">
        <v>0.28821428571428581</v>
      </c>
      <c r="F20" s="11">
        <v>8613.24</v>
      </c>
    </row>
    <row r="21" spans="1:6" x14ac:dyDescent="0.4">
      <c r="A21" s="27" t="s">
        <v>1988</v>
      </c>
      <c r="B21" s="7">
        <v>0.15000000000000002</v>
      </c>
      <c r="D21" s="27" t="s">
        <v>1988</v>
      </c>
      <c r="E21" s="7">
        <v>0.15000000000000002</v>
      </c>
      <c r="F21" s="11">
        <v>1836.0900000000001</v>
      </c>
    </row>
    <row r="22" spans="1:6" x14ac:dyDescent="0.4">
      <c r="A22" s="27" t="s">
        <v>42</v>
      </c>
      <c r="B22" s="7">
        <v>0.23800000000000002</v>
      </c>
      <c r="D22" s="27" t="s">
        <v>42</v>
      </c>
      <c r="E22" s="7">
        <v>0.23800000000000002</v>
      </c>
      <c r="F22" s="11">
        <v>8663.2200000000012</v>
      </c>
    </row>
    <row r="23" spans="1:6" x14ac:dyDescent="0.4">
      <c r="A23" s="27" t="s">
        <v>1987</v>
      </c>
      <c r="B23" s="7">
        <v>0.19086956521739129</v>
      </c>
      <c r="D23" s="27" t="s">
        <v>1987</v>
      </c>
      <c r="E23" s="7">
        <v>0.19086956521739129</v>
      </c>
      <c r="F23" s="11">
        <v>7393.6299999999992</v>
      </c>
    </row>
    <row r="24" spans="1:6" x14ac:dyDescent="0.4">
      <c r="A24" s="27" t="s">
        <v>2008</v>
      </c>
      <c r="B24" s="7">
        <v>0.24254901960784317</v>
      </c>
      <c r="D24" s="27" t="s">
        <v>2008</v>
      </c>
      <c r="E24" s="7">
        <v>0.24254901960784317</v>
      </c>
      <c r="F24" s="11">
        <v>35220.93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5A3F-7520-4F8E-8762-E565B2A1FD37}">
  <dimension ref="A1:C16"/>
  <sheetViews>
    <sheetView topLeftCell="A3" zoomScale="134" workbookViewId="0">
      <selection activeCell="F19" sqref="F19"/>
    </sheetView>
  </sheetViews>
  <sheetFormatPr defaultRowHeight="16" x14ac:dyDescent="0.4"/>
  <cols>
    <col min="1" max="1" width="12.1640625" bestFit="1" customWidth="1"/>
    <col min="2" max="2" width="11.4140625" bestFit="1" customWidth="1"/>
    <col min="3" max="3" width="12.33203125" bestFit="1" customWidth="1"/>
  </cols>
  <sheetData>
    <row r="1" spans="1:3" x14ac:dyDescent="0.4">
      <c r="A1" s="26" t="s">
        <v>2022</v>
      </c>
      <c r="B1" t="s">
        <v>2025</v>
      </c>
    </row>
    <row r="3" spans="1:3" x14ac:dyDescent="0.4">
      <c r="A3" s="26" t="s">
        <v>2006</v>
      </c>
      <c r="B3" t="s">
        <v>2009</v>
      </c>
      <c r="C3" t="s">
        <v>2007</v>
      </c>
    </row>
    <row r="4" spans="1:3" x14ac:dyDescent="0.4">
      <c r="A4" s="27" t="s">
        <v>2011</v>
      </c>
      <c r="B4">
        <v>2425.65</v>
      </c>
      <c r="C4" s="11">
        <v>1497.6100000000001</v>
      </c>
    </row>
    <row r="5" spans="1:3" x14ac:dyDescent="0.4">
      <c r="A5" s="27" t="s">
        <v>2012</v>
      </c>
      <c r="B5">
        <v>3232.1400000000003</v>
      </c>
      <c r="C5" s="11">
        <v>2184.16</v>
      </c>
    </row>
    <row r="6" spans="1:3" x14ac:dyDescent="0.4">
      <c r="A6" s="27" t="s">
        <v>2013</v>
      </c>
      <c r="B6">
        <v>3237.4399999999996</v>
      </c>
      <c r="C6" s="11">
        <v>2501.4999999999991</v>
      </c>
    </row>
    <row r="7" spans="1:3" x14ac:dyDescent="0.4">
      <c r="A7" s="27" t="s">
        <v>2014</v>
      </c>
      <c r="B7">
        <v>5261.73</v>
      </c>
      <c r="C7" s="11">
        <v>4078.88</v>
      </c>
    </row>
    <row r="8" spans="1:3" x14ac:dyDescent="0.4">
      <c r="A8" s="27" t="s">
        <v>2015</v>
      </c>
      <c r="B8">
        <v>3510.7500000000005</v>
      </c>
      <c r="C8" s="11">
        <v>3514.4799999999996</v>
      </c>
    </row>
    <row r="9" spans="1:3" x14ac:dyDescent="0.4">
      <c r="A9" s="27" t="s">
        <v>2016</v>
      </c>
      <c r="B9">
        <v>7036.1600000000008</v>
      </c>
      <c r="C9" s="11">
        <v>4985.0600000000013</v>
      </c>
    </row>
    <row r="10" spans="1:3" x14ac:dyDescent="0.4">
      <c r="A10" s="27" t="s">
        <v>2017</v>
      </c>
      <c r="B10">
        <v>13090.5</v>
      </c>
      <c r="C10" s="11">
        <v>2497.1899999999996</v>
      </c>
    </row>
    <row r="11" spans="1:3" x14ac:dyDescent="0.4">
      <c r="A11" s="27" t="s">
        <v>2018</v>
      </c>
      <c r="B11">
        <v>4068.14</v>
      </c>
      <c r="C11" s="11">
        <v>2814.73</v>
      </c>
    </row>
    <row r="12" spans="1:3" x14ac:dyDescent="0.4">
      <c r="A12" s="27" t="s">
        <v>2019</v>
      </c>
      <c r="B12">
        <v>4677.6500000000005</v>
      </c>
      <c r="C12" s="11">
        <v>2922.02</v>
      </c>
    </row>
    <row r="13" spans="1:3" x14ac:dyDescent="0.4">
      <c r="A13" s="27" t="s">
        <v>2020</v>
      </c>
      <c r="B13">
        <v>3647.3800000000006</v>
      </c>
      <c r="C13" s="11">
        <v>2976.01</v>
      </c>
    </row>
    <row r="14" spans="1:3" x14ac:dyDescent="0.4">
      <c r="A14" s="27" t="s">
        <v>2024</v>
      </c>
      <c r="B14">
        <v>3038.2899999999995</v>
      </c>
      <c r="C14" s="11">
        <v>1893.5299999999997</v>
      </c>
    </row>
    <row r="15" spans="1:3" x14ac:dyDescent="0.4">
      <c r="A15" s="27" t="s">
        <v>2021</v>
      </c>
      <c r="B15">
        <v>4451.0200000000004</v>
      </c>
      <c r="C15" s="11">
        <v>3355.76</v>
      </c>
    </row>
    <row r="16" spans="1:3" x14ac:dyDescent="0.4">
      <c r="A16" s="27" t="s">
        <v>2008</v>
      </c>
      <c r="B16">
        <v>57676.849999999991</v>
      </c>
      <c r="C16" s="11">
        <v>35220.93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E7BF9-E76E-4DE9-9613-A214C9C09B85}">
  <dimension ref="A1"/>
  <sheetViews>
    <sheetView tabSelected="1" zoomScale="71" workbookViewId="0">
      <selection activeCell="P46" sqref="P46"/>
    </sheetView>
  </sheetViews>
  <sheetFormatPr defaultRowHeight="16" x14ac:dyDescent="0.4"/>
  <cols>
    <col min="1" max="16384" width="8.664062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A073-94E0-4AD0-8805-8B84D0EBAE4C}">
  <dimension ref="A3:C20"/>
  <sheetViews>
    <sheetView workbookViewId="0">
      <selection activeCell="A3" sqref="A3"/>
    </sheetView>
  </sheetViews>
  <sheetFormatPr defaultRowHeight="16" x14ac:dyDescent="0.4"/>
  <cols>
    <col min="1" max="1" width="12.9140625" bestFit="1" customWidth="1"/>
  </cols>
  <sheetData>
    <row r="3" spans="1:3" x14ac:dyDescent="0.4">
      <c r="A3" s="29"/>
      <c r="B3" s="30"/>
      <c r="C3" s="31"/>
    </row>
    <row r="4" spans="1:3" x14ac:dyDescent="0.4">
      <c r="A4" s="32"/>
      <c r="B4" s="33"/>
      <c r="C4" s="34"/>
    </row>
    <row r="5" spans="1:3" x14ac:dyDescent="0.4">
      <c r="A5" s="32"/>
      <c r="B5" s="33"/>
      <c r="C5" s="34"/>
    </row>
    <row r="6" spans="1:3" x14ac:dyDescent="0.4">
      <c r="A6" s="32"/>
      <c r="B6" s="33"/>
      <c r="C6" s="34"/>
    </row>
    <row r="7" spans="1:3" x14ac:dyDescent="0.4">
      <c r="A7" s="32"/>
      <c r="B7" s="33"/>
      <c r="C7" s="34"/>
    </row>
    <row r="8" spans="1:3" x14ac:dyDescent="0.4">
      <c r="A8" s="32"/>
      <c r="B8" s="33"/>
      <c r="C8" s="34"/>
    </row>
    <row r="9" spans="1:3" x14ac:dyDescent="0.4">
      <c r="A9" s="32"/>
      <c r="B9" s="33"/>
      <c r="C9" s="34"/>
    </row>
    <row r="10" spans="1:3" x14ac:dyDescent="0.4">
      <c r="A10" s="32"/>
      <c r="B10" s="33"/>
      <c r="C10" s="34"/>
    </row>
    <row r="11" spans="1:3" x14ac:dyDescent="0.4">
      <c r="A11" s="32"/>
      <c r="B11" s="33"/>
      <c r="C11" s="34"/>
    </row>
    <row r="12" spans="1:3" x14ac:dyDescent="0.4">
      <c r="A12" s="32"/>
      <c r="B12" s="33"/>
      <c r="C12" s="34"/>
    </row>
    <row r="13" spans="1:3" x14ac:dyDescent="0.4">
      <c r="A13" s="32"/>
      <c r="B13" s="33"/>
      <c r="C13" s="34"/>
    </row>
    <row r="14" spans="1:3" x14ac:dyDescent="0.4">
      <c r="A14" s="32"/>
      <c r="B14" s="33"/>
      <c r="C14" s="34"/>
    </row>
    <row r="15" spans="1:3" x14ac:dyDescent="0.4">
      <c r="A15" s="32"/>
      <c r="B15" s="33"/>
      <c r="C15" s="34"/>
    </row>
    <row r="16" spans="1:3" x14ac:dyDescent="0.4">
      <c r="A16" s="32"/>
      <c r="B16" s="33"/>
      <c r="C16" s="34"/>
    </row>
    <row r="17" spans="1:3" x14ac:dyDescent="0.4">
      <c r="A17" s="32"/>
      <c r="B17" s="33"/>
      <c r="C17" s="34"/>
    </row>
    <row r="18" spans="1:3" x14ac:dyDescent="0.4">
      <c r="A18" s="32"/>
      <c r="B18" s="33"/>
      <c r="C18" s="34"/>
    </row>
    <row r="19" spans="1:3" x14ac:dyDescent="0.4">
      <c r="A19" s="32"/>
      <c r="B19" s="33"/>
      <c r="C19" s="34"/>
    </row>
    <row r="20" spans="1:3" x14ac:dyDescent="0.4">
      <c r="A20" s="35"/>
      <c r="B20" s="36"/>
      <c r="C20"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14"/>
  <sheetViews>
    <sheetView zoomScale="48" workbookViewId="0">
      <pane ySplit="1" topLeftCell="A2" activePane="bottomLeft" state="frozen"/>
      <selection pane="bottomLeft" activeCell="D54" sqref="D54"/>
    </sheetView>
  </sheetViews>
  <sheetFormatPr defaultColWidth="11.25" defaultRowHeight="15" customHeight="1" x14ac:dyDescent="0.4"/>
  <cols>
    <col min="1" max="1" width="36.5" customWidth="1"/>
    <col min="2" max="2" width="12.83203125" style="5" customWidth="1"/>
    <col min="3" max="7" width="11.9140625" style="5" customWidth="1"/>
    <col min="8" max="8" width="13.1640625" customWidth="1"/>
    <col min="9" max="9" width="12.83203125" customWidth="1"/>
    <col min="10" max="10" width="18.4140625" customWidth="1"/>
    <col min="11" max="11" width="11.83203125" customWidth="1"/>
    <col min="12" max="12" width="19.83203125" customWidth="1"/>
    <col min="13" max="13" width="21" style="11" customWidth="1"/>
    <col min="14" max="14" width="10.5" style="9" customWidth="1"/>
    <col min="15" max="15" width="10.5" style="7" customWidth="1"/>
    <col min="16" max="16" width="16.83203125" style="11" customWidth="1"/>
    <col min="17" max="20" width="10.5" customWidth="1"/>
    <col min="21" max="21" width="12.58203125" customWidth="1"/>
    <col min="22" max="22" width="13.6640625" customWidth="1"/>
    <col min="23" max="23" width="25.08203125" customWidth="1"/>
    <col min="24" max="30" width="10.5" customWidth="1"/>
  </cols>
  <sheetData>
    <row r="1" spans="1:23" ht="15.75" customHeight="1" x14ac:dyDescent="0.4">
      <c r="A1" t="s">
        <v>0</v>
      </c>
      <c r="B1" s="4" t="s">
        <v>1</v>
      </c>
      <c r="C1" s="4" t="s">
        <v>2</v>
      </c>
      <c r="D1" s="4" t="s">
        <v>2022</v>
      </c>
      <c r="E1" s="4" t="s">
        <v>1991</v>
      </c>
      <c r="F1" s="4" t="s">
        <v>1992</v>
      </c>
      <c r="G1" s="4" t="s">
        <v>1993</v>
      </c>
      <c r="H1" s="12" t="s">
        <v>3</v>
      </c>
      <c r="I1" s="1" t="s">
        <v>4</v>
      </c>
      <c r="J1" s="1" t="s">
        <v>5</v>
      </c>
      <c r="K1" s="1" t="s">
        <v>6</v>
      </c>
      <c r="L1" s="1" t="s">
        <v>7</v>
      </c>
      <c r="M1" s="10" t="s">
        <v>8</v>
      </c>
      <c r="N1" s="8" t="s">
        <v>9</v>
      </c>
      <c r="O1" s="6" t="s">
        <v>10</v>
      </c>
      <c r="P1" s="10" t="s">
        <v>11</v>
      </c>
      <c r="Q1" s="12" t="s">
        <v>1990</v>
      </c>
      <c r="R1" t="s">
        <v>1994</v>
      </c>
    </row>
    <row r="2" spans="1:23" ht="15.75" customHeight="1" x14ac:dyDescent="0.4">
      <c r="A2" s="1" t="s">
        <v>12</v>
      </c>
      <c r="B2" s="2">
        <v>45320</v>
      </c>
      <c r="C2" s="2">
        <v>45322</v>
      </c>
      <c r="D2" s="2" t="str">
        <f>IF(B2="","",TEXT(B2,"YYYY"))</f>
        <v>2024</v>
      </c>
      <c r="E2" s="2" t="str">
        <f t="shared" ref="E2:E65" si="0">TEXT(C2, "MMMM")</f>
        <v>January</v>
      </c>
      <c r="F2" s="2" t="str" cm="1">
        <f t="array" ref="F2">IF(MONTH(C2)&lt;3,"Q1",IF(MONTH(C2)&lt;=#REF!,F:F,IF(MONTH(C2)&lt;9,"Q3","Q4")))</f>
        <v>Q1</v>
      </c>
      <c r="G2" s="13">
        <f t="shared" ref="G2:G65" si="1">DATEDIF(B2,C2, "D")</f>
        <v>2</v>
      </c>
      <c r="H2" s="12" t="s">
        <v>1986</v>
      </c>
      <c r="I2" s="1" t="s">
        <v>13</v>
      </c>
      <c r="J2" s="1" t="s">
        <v>14</v>
      </c>
      <c r="K2" s="1" t="s">
        <v>15</v>
      </c>
      <c r="L2" s="1" t="s">
        <v>16</v>
      </c>
      <c r="M2" s="10">
        <v>346.03</v>
      </c>
      <c r="N2" s="8">
        <v>1</v>
      </c>
      <c r="O2" s="6">
        <v>0.11</v>
      </c>
      <c r="P2" s="10">
        <v>285.02999999999997</v>
      </c>
      <c r="Q2" s="11">
        <f t="shared" ref="Q2:Q65" si="2">M2 - P2</f>
        <v>61</v>
      </c>
      <c r="R2" t="str">
        <f>IF(P2&gt;0,"profit","loss")</f>
        <v>profit</v>
      </c>
    </row>
    <row r="3" spans="1:23" ht="15.75" customHeight="1" x14ac:dyDescent="0.4">
      <c r="A3" s="1" t="s">
        <v>17</v>
      </c>
      <c r="B3" s="2">
        <v>45030</v>
      </c>
      <c r="C3" s="2">
        <v>45030</v>
      </c>
      <c r="D3" s="2" t="str">
        <f t="shared" ref="D3:D66" si="3">IF(B3="","",TEXT(B3,"YYYY"))</f>
        <v>2023</v>
      </c>
      <c r="E3" s="2" t="str">
        <f t="shared" si="0"/>
        <v>April</v>
      </c>
      <c r="F3" s="2" t="str">
        <f t="shared" ref="F3:F66" si="4">IF(MONTH(C3)&lt;3,"Q1",IF(MONTH(C3)&lt;6,"Q2",IF(MONTH(C3)&lt;9,"Q3","Q4")))</f>
        <v>Q2</v>
      </c>
      <c r="G3" s="13">
        <f t="shared" si="1"/>
        <v>0</v>
      </c>
      <c r="H3" s="12" t="s">
        <v>1987</v>
      </c>
      <c r="I3" s="1" t="s">
        <v>18</v>
      </c>
      <c r="J3" s="1" t="s">
        <v>19</v>
      </c>
      <c r="K3" s="1" t="s">
        <v>20</v>
      </c>
      <c r="L3" s="1" t="s">
        <v>21</v>
      </c>
      <c r="M3" s="10">
        <v>285.45</v>
      </c>
      <c r="N3" s="8">
        <v>5</v>
      </c>
      <c r="O3" s="6">
        <v>0.2</v>
      </c>
      <c r="P3" s="10">
        <v>216.11</v>
      </c>
      <c r="Q3" s="11">
        <f t="shared" si="2"/>
        <v>69.339999999999975</v>
      </c>
      <c r="R3" t="str">
        <f>IF(P3&gt;0,"Profit","Loss")</f>
        <v>Profit</v>
      </c>
    </row>
    <row r="4" spans="1:23" ht="15.75" customHeight="1" x14ac:dyDescent="0.4">
      <c r="A4" s="1" t="s">
        <v>22</v>
      </c>
      <c r="B4" s="2">
        <v>45301</v>
      </c>
      <c r="C4" s="2">
        <v>45309</v>
      </c>
      <c r="D4" s="2" t="str">
        <f t="shared" si="3"/>
        <v>2024</v>
      </c>
      <c r="E4" s="2" t="str">
        <f t="shared" si="0"/>
        <v>January</v>
      </c>
      <c r="F4" s="2" t="str">
        <f t="shared" si="4"/>
        <v>Q1</v>
      </c>
      <c r="G4" s="13">
        <f t="shared" si="1"/>
        <v>8</v>
      </c>
      <c r="H4" s="12" t="s">
        <v>23</v>
      </c>
      <c r="I4" s="1" t="s">
        <v>24</v>
      </c>
      <c r="J4" s="1" t="s">
        <v>25</v>
      </c>
      <c r="K4" s="1" t="s">
        <v>26</v>
      </c>
      <c r="L4" s="1" t="s">
        <v>27</v>
      </c>
      <c r="M4" s="10">
        <v>349.32</v>
      </c>
      <c r="N4" s="8">
        <v>10</v>
      </c>
      <c r="O4" s="6">
        <v>0.25</v>
      </c>
      <c r="P4" s="10">
        <v>235.18</v>
      </c>
      <c r="Q4" s="11">
        <f t="shared" si="2"/>
        <v>114.13999999999999</v>
      </c>
      <c r="R4" t="str">
        <f t="shared" ref="R4:R67" si="5">IF(P4&gt;0,"profit","loss")</f>
        <v>profit</v>
      </c>
      <c r="V4" t="s">
        <v>1996</v>
      </c>
      <c r="W4">
        <f>COUNTIF(R2:R1011, "Profit")</f>
        <v>987</v>
      </c>
    </row>
    <row r="5" spans="1:23" ht="15.75" customHeight="1" x14ac:dyDescent="0.4">
      <c r="A5" s="1" t="s">
        <v>28</v>
      </c>
      <c r="B5" s="2">
        <v>45026</v>
      </c>
      <c r="C5" s="2">
        <v>45026</v>
      </c>
      <c r="D5" s="2" t="str">
        <f t="shared" si="3"/>
        <v>2023</v>
      </c>
      <c r="E5" s="2" t="str">
        <f t="shared" si="0"/>
        <v>April</v>
      </c>
      <c r="F5" s="2" t="str">
        <f t="shared" si="4"/>
        <v>Q2</v>
      </c>
      <c r="G5" s="13">
        <f t="shared" si="1"/>
        <v>0</v>
      </c>
      <c r="H5" s="12" t="s">
        <v>23</v>
      </c>
      <c r="I5" s="1" t="s">
        <v>29</v>
      </c>
      <c r="J5" s="1" t="s">
        <v>14</v>
      </c>
      <c r="K5" s="1" t="s">
        <v>30</v>
      </c>
      <c r="L5" s="1" t="s">
        <v>31</v>
      </c>
      <c r="M5" s="10">
        <v>983.58</v>
      </c>
      <c r="N5" s="8">
        <v>2</v>
      </c>
      <c r="O5" s="6">
        <v>0.11</v>
      </c>
      <c r="P5" s="10">
        <v>847.95</v>
      </c>
      <c r="Q5" s="11">
        <f t="shared" si="2"/>
        <v>135.63</v>
      </c>
      <c r="R5" t="str">
        <f t="shared" si="5"/>
        <v>profit</v>
      </c>
      <c r="V5" t="s">
        <v>1995</v>
      </c>
      <c r="W5">
        <f>COUNTIF(R2:R1011, "Loss")</f>
        <v>23</v>
      </c>
    </row>
    <row r="6" spans="1:23" ht="15.75" customHeight="1" x14ac:dyDescent="0.4">
      <c r="A6" s="1" t="s">
        <v>32</v>
      </c>
      <c r="B6" s="2">
        <v>45527</v>
      </c>
      <c r="C6" s="2">
        <v>45535</v>
      </c>
      <c r="D6" s="2" t="str">
        <f t="shared" si="3"/>
        <v>2024</v>
      </c>
      <c r="E6" s="2" t="str">
        <f t="shared" si="0"/>
        <v>August</v>
      </c>
      <c r="F6" s="2" t="str">
        <f t="shared" si="4"/>
        <v>Q3</v>
      </c>
      <c r="G6" s="13">
        <f t="shared" si="1"/>
        <v>8</v>
      </c>
      <c r="H6" s="12" t="s">
        <v>1986</v>
      </c>
      <c r="I6" s="1" t="s">
        <v>29</v>
      </c>
      <c r="J6" s="1" t="s">
        <v>25</v>
      </c>
      <c r="K6" s="1" t="s">
        <v>26</v>
      </c>
      <c r="L6" s="1" t="s">
        <v>33</v>
      </c>
      <c r="M6" s="10">
        <v>332.89</v>
      </c>
      <c r="N6" s="8">
        <v>7</v>
      </c>
      <c r="O6" s="6">
        <v>0.18</v>
      </c>
      <c r="P6" s="10">
        <v>246.42</v>
      </c>
      <c r="Q6" s="11">
        <f t="shared" si="2"/>
        <v>86.47</v>
      </c>
      <c r="R6" t="str">
        <f t="shared" si="5"/>
        <v>profit</v>
      </c>
    </row>
    <row r="7" spans="1:23" ht="15.75" customHeight="1" x14ac:dyDescent="0.4">
      <c r="A7" s="1" t="s">
        <v>34</v>
      </c>
      <c r="B7" s="2">
        <v>45452</v>
      </c>
      <c r="C7" s="2">
        <v>45460</v>
      </c>
      <c r="D7" s="2" t="str">
        <f t="shared" si="3"/>
        <v>2024</v>
      </c>
      <c r="E7" s="2" t="str">
        <f t="shared" si="0"/>
        <v>June</v>
      </c>
      <c r="F7" s="2" t="str">
        <f t="shared" si="4"/>
        <v>Q3</v>
      </c>
      <c r="G7" s="13">
        <f t="shared" si="1"/>
        <v>8</v>
      </c>
      <c r="H7" s="12" t="s">
        <v>23</v>
      </c>
      <c r="I7" s="1" t="s">
        <v>18</v>
      </c>
      <c r="J7" s="1" t="s">
        <v>19</v>
      </c>
      <c r="K7" s="1" t="s">
        <v>35</v>
      </c>
      <c r="L7" s="1" t="s">
        <v>36</v>
      </c>
      <c r="M7" s="10">
        <v>590.95000000000005</v>
      </c>
      <c r="N7" s="8">
        <v>4</v>
      </c>
      <c r="O7" s="6">
        <v>0.18</v>
      </c>
      <c r="P7" s="10">
        <v>471.79</v>
      </c>
      <c r="Q7" s="11">
        <f t="shared" si="2"/>
        <v>119.16000000000003</v>
      </c>
      <c r="R7" t="str">
        <f t="shared" si="5"/>
        <v>profit</v>
      </c>
      <c r="V7" t="s">
        <v>1997</v>
      </c>
      <c r="W7" s="9">
        <f>SUM(N2:N1011)</f>
        <v>5650</v>
      </c>
    </row>
    <row r="8" spans="1:23" ht="15.75" customHeight="1" x14ac:dyDescent="0.4">
      <c r="A8" s="1" t="s">
        <v>37</v>
      </c>
      <c r="B8" s="2">
        <v>45207</v>
      </c>
      <c r="C8" s="2">
        <v>45214</v>
      </c>
      <c r="D8" s="2" t="str">
        <f t="shared" si="3"/>
        <v>2023</v>
      </c>
      <c r="E8" s="2" t="str">
        <f t="shared" si="0"/>
        <v>October</v>
      </c>
      <c r="F8" s="2" t="str">
        <f t="shared" si="4"/>
        <v>Q4</v>
      </c>
      <c r="G8" s="13">
        <f t="shared" si="1"/>
        <v>7</v>
      </c>
      <c r="H8" s="12" t="s">
        <v>23</v>
      </c>
      <c r="I8" s="1" t="s">
        <v>18</v>
      </c>
      <c r="J8" s="1" t="s">
        <v>19</v>
      </c>
      <c r="K8" s="1" t="s">
        <v>35</v>
      </c>
      <c r="L8" s="1" t="s">
        <v>38</v>
      </c>
      <c r="M8" s="10">
        <v>638.1</v>
      </c>
      <c r="N8" s="8">
        <v>6</v>
      </c>
      <c r="O8" s="6">
        <v>0.31</v>
      </c>
      <c r="P8" s="10">
        <v>429.65</v>
      </c>
      <c r="Q8" s="11">
        <f t="shared" si="2"/>
        <v>208.45000000000005</v>
      </c>
      <c r="R8" t="str">
        <f t="shared" si="5"/>
        <v>profit</v>
      </c>
      <c r="V8" t="s">
        <v>2023</v>
      </c>
      <c r="W8" s="7">
        <f>AVERAGE(O2:O1011)</f>
        <v>0.24316831683168286</v>
      </c>
    </row>
    <row r="9" spans="1:23" ht="15.75" customHeight="1" x14ac:dyDescent="0.4">
      <c r="A9" s="1" t="s">
        <v>39</v>
      </c>
      <c r="B9" s="2">
        <v>45604</v>
      </c>
      <c r="C9" s="2">
        <v>45612</v>
      </c>
      <c r="D9" s="2" t="str">
        <f t="shared" si="3"/>
        <v>2024</v>
      </c>
      <c r="E9" s="2" t="str">
        <f t="shared" si="0"/>
        <v>November</v>
      </c>
      <c r="F9" s="2" t="str">
        <f t="shared" si="4"/>
        <v>Q4</v>
      </c>
      <c r="G9" s="13">
        <f t="shared" si="1"/>
        <v>8</v>
      </c>
      <c r="H9" s="12" t="s">
        <v>1986</v>
      </c>
      <c r="I9" s="1" t="s">
        <v>29</v>
      </c>
      <c r="J9" s="1" t="s">
        <v>19</v>
      </c>
      <c r="K9" s="1" t="s">
        <v>35</v>
      </c>
      <c r="L9" s="1" t="s">
        <v>40</v>
      </c>
      <c r="M9" s="10">
        <v>955.58</v>
      </c>
      <c r="N9" s="8">
        <v>2</v>
      </c>
      <c r="O9" s="6">
        <v>0.48</v>
      </c>
      <c r="P9" s="10">
        <v>454.76</v>
      </c>
      <c r="Q9" s="11">
        <f t="shared" si="2"/>
        <v>500.82000000000005</v>
      </c>
      <c r="R9" t="str">
        <f t="shared" si="5"/>
        <v>profit</v>
      </c>
    </row>
    <row r="10" spans="1:23" ht="15.75" customHeight="1" x14ac:dyDescent="0.4">
      <c r="A10" s="1" t="s">
        <v>41</v>
      </c>
      <c r="B10" s="2">
        <v>45347</v>
      </c>
      <c r="C10" s="2">
        <v>45347</v>
      </c>
      <c r="D10" s="2" t="str">
        <f t="shared" si="3"/>
        <v>2024</v>
      </c>
      <c r="E10" s="2" t="str">
        <f t="shared" si="0"/>
        <v>February</v>
      </c>
      <c r="F10" s="2" t="str">
        <f t="shared" si="4"/>
        <v>Q1</v>
      </c>
      <c r="G10" s="13">
        <f t="shared" si="1"/>
        <v>0</v>
      </c>
      <c r="H10" s="12" t="s">
        <v>42</v>
      </c>
      <c r="I10" s="1" t="s">
        <v>13</v>
      </c>
      <c r="J10" s="1" t="s">
        <v>25</v>
      </c>
      <c r="K10" s="1" t="s">
        <v>43</v>
      </c>
      <c r="L10" s="1" t="s">
        <v>44</v>
      </c>
      <c r="M10" s="10">
        <v>216.12</v>
      </c>
      <c r="N10" s="8">
        <v>5</v>
      </c>
      <c r="O10" s="6">
        <v>0.47</v>
      </c>
      <c r="P10" s="10">
        <v>70.33</v>
      </c>
      <c r="Q10" s="11">
        <f t="shared" si="2"/>
        <v>145.79000000000002</v>
      </c>
      <c r="R10" t="str">
        <f t="shared" si="5"/>
        <v>profit</v>
      </c>
      <c r="V10" t="s">
        <v>1998</v>
      </c>
      <c r="W10" s="11">
        <f>SUM(M2:M1011)</f>
        <v>1085268.6400000004</v>
      </c>
    </row>
    <row r="11" spans="1:23" ht="15.75" customHeight="1" x14ac:dyDescent="0.4">
      <c r="A11" s="1" t="s">
        <v>45</v>
      </c>
      <c r="B11" s="2">
        <v>45148</v>
      </c>
      <c r="C11" s="2">
        <v>45150</v>
      </c>
      <c r="D11" s="2" t="str">
        <f t="shared" si="3"/>
        <v>2023</v>
      </c>
      <c r="E11" s="2" t="str">
        <f t="shared" si="0"/>
        <v>August</v>
      </c>
      <c r="F11" s="2" t="str">
        <f t="shared" si="4"/>
        <v>Q3</v>
      </c>
      <c r="G11" s="13">
        <f t="shared" si="1"/>
        <v>2</v>
      </c>
      <c r="H11" s="12" t="s">
        <v>1987</v>
      </c>
      <c r="I11" s="1" t="s">
        <v>46</v>
      </c>
      <c r="J11" s="1" t="s">
        <v>25</v>
      </c>
      <c r="K11" s="1" t="s">
        <v>47</v>
      </c>
      <c r="L11" s="1" t="s">
        <v>48</v>
      </c>
      <c r="M11" s="10">
        <v>501.55</v>
      </c>
      <c r="N11" s="8">
        <v>1</v>
      </c>
      <c r="O11" s="6">
        <v>0.23</v>
      </c>
      <c r="P11" s="10">
        <v>374.65</v>
      </c>
      <c r="Q11" s="11">
        <f t="shared" si="2"/>
        <v>126.90000000000003</v>
      </c>
      <c r="R11" t="str">
        <f t="shared" si="5"/>
        <v>profit</v>
      </c>
      <c r="V11" t="s">
        <v>1999</v>
      </c>
      <c r="W11" s="11">
        <f>MAX(M102:M1011)</f>
        <v>500000</v>
      </c>
    </row>
    <row r="12" spans="1:23" ht="15.75" customHeight="1" x14ac:dyDescent="0.4">
      <c r="A12" s="1" t="s">
        <v>49</v>
      </c>
      <c r="B12" s="2">
        <v>45248</v>
      </c>
      <c r="C12" s="2">
        <v>45256</v>
      </c>
      <c r="D12" s="2" t="str">
        <f t="shared" si="3"/>
        <v>2023</v>
      </c>
      <c r="E12" s="2" t="str">
        <f t="shared" si="0"/>
        <v>November</v>
      </c>
      <c r="F12" s="2" t="str">
        <f t="shared" si="4"/>
        <v>Q4</v>
      </c>
      <c r="G12" s="13">
        <f t="shared" si="1"/>
        <v>8</v>
      </c>
      <c r="H12" s="12" t="s">
        <v>42</v>
      </c>
      <c r="I12" s="1" t="s">
        <v>50</v>
      </c>
      <c r="J12" s="1" t="s">
        <v>25</v>
      </c>
      <c r="K12" s="1" t="s">
        <v>43</v>
      </c>
      <c r="L12" s="1" t="s">
        <v>51</v>
      </c>
      <c r="M12" s="10">
        <v>51.69</v>
      </c>
      <c r="N12" s="8">
        <v>10</v>
      </c>
      <c r="O12" s="6">
        <v>0.04</v>
      </c>
      <c r="P12" s="10">
        <v>9.57</v>
      </c>
      <c r="Q12" s="11">
        <f t="shared" si="2"/>
        <v>42.12</v>
      </c>
      <c r="R12" t="str">
        <f t="shared" si="5"/>
        <v>profit</v>
      </c>
      <c r="V12" t="s">
        <v>2000</v>
      </c>
      <c r="W12" s="11">
        <f>AVERAGE(M2:M1011)</f>
        <v>1142.3880421052636</v>
      </c>
    </row>
    <row r="13" spans="1:23" ht="15.75" customHeight="1" x14ac:dyDescent="0.4">
      <c r="A13" s="1" t="s">
        <v>52</v>
      </c>
      <c r="B13" s="2">
        <v>45119</v>
      </c>
      <c r="C13" s="2">
        <v>45121</v>
      </c>
      <c r="D13" s="2" t="str">
        <f t="shared" si="3"/>
        <v>2023</v>
      </c>
      <c r="E13" s="2" t="str">
        <f t="shared" si="0"/>
        <v>July</v>
      </c>
      <c r="F13" s="2" t="str">
        <f t="shared" si="4"/>
        <v>Q3</v>
      </c>
      <c r="G13" s="13">
        <f t="shared" si="1"/>
        <v>2</v>
      </c>
      <c r="H13" s="12" t="s">
        <v>1987</v>
      </c>
      <c r="I13" s="1" t="s">
        <v>53</v>
      </c>
      <c r="J13" s="1" t="s">
        <v>14</v>
      </c>
      <c r="K13" s="1" t="s">
        <v>54</v>
      </c>
      <c r="L13" s="1" t="s">
        <v>55</v>
      </c>
      <c r="M13" s="10">
        <v>159.31</v>
      </c>
      <c r="N13" s="8">
        <v>8</v>
      </c>
      <c r="O13" s="6">
        <v>0.44</v>
      </c>
      <c r="P13" s="10">
        <v>47.75</v>
      </c>
      <c r="Q13" s="11">
        <f t="shared" si="2"/>
        <v>111.56</v>
      </c>
      <c r="R13" t="str">
        <f t="shared" si="5"/>
        <v>profit</v>
      </c>
      <c r="V13" t="s">
        <v>2001</v>
      </c>
      <c r="W13" s="11">
        <f>MIN(M2:M1011)</f>
        <v>20.46</v>
      </c>
    </row>
    <row r="14" spans="1:23" ht="15.75" customHeight="1" x14ac:dyDescent="0.4">
      <c r="A14" s="1" t="s">
        <v>56</v>
      </c>
      <c r="B14" s="2">
        <v>45049</v>
      </c>
      <c r="C14" s="2">
        <v>45056</v>
      </c>
      <c r="D14" s="2" t="str">
        <f t="shared" si="3"/>
        <v>2023</v>
      </c>
      <c r="E14" s="2" t="str">
        <f t="shared" si="0"/>
        <v>May</v>
      </c>
      <c r="F14" s="2" t="str">
        <f t="shared" si="4"/>
        <v>Q2</v>
      </c>
      <c r="G14" s="13">
        <f t="shared" si="1"/>
        <v>7</v>
      </c>
      <c r="H14" s="12" t="s">
        <v>1986</v>
      </c>
      <c r="I14" s="1" t="s">
        <v>53</v>
      </c>
      <c r="J14" s="1" t="s">
        <v>25</v>
      </c>
      <c r="K14" s="1" t="s">
        <v>43</v>
      </c>
      <c r="L14" s="1" t="s">
        <v>57</v>
      </c>
      <c r="M14" s="10">
        <v>744.12</v>
      </c>
      <c r="N14" s="8">
        <v>3</v>
      </c>
      <c r="O14" s="6">
        <v>7.0000000000000007E-2</v>
      </c>
      <c r="P14" s="10">
        <v>667.57</v>
      </c>
      <c r="Q14" s="11">
        <f t="shared" si="2"/>
        <v>76.549999999999955</v>
      </c>
      <c r="R14" t="str">
        <f t="shared" si="5"/>
        <v>profit</v>
      </c>
    </row>
    <row r="15" spans="1:23" ht="15.75" customHeight="1" x14ac:dyDescent="0.4">
      <c r="A15" s="1" t="s">
        <v>58</v>
      </c>
      <c r="B15" s="2">
        <v>45092</v>
      </c>
      <c r="C15" s="2">
        <v>45100</v>
      </c>
      <c r="D15" s="2" t="str">
        <f t="shared" si="3"/>
        <v>2023</v>
      </c>
      <c r="E15" s="2" t="str">
        <f t="shared" si="0"/>
        <v>June</v>
      </c>
      <c r="F15" s="2" t="str">
        <f t="shared" si="4"/>
        <v>Q3</v>
      </c>
      <c r="G15" s="13">
        <f t="shared" si="1"/>
        <v>8</v>
      </c>
      <c r="H15" s="12" t="s">
        <v>1987</v>
      </c>
      <c r="I15" s="1" t="s">
        <v>59</v>
      </c>
      <c r="J15" s="1" t="s">
        <v>19</v>
      </c>
      <c r="K15" s="1" t="s">
        <v>20</v>
      </c>
      <c r="L15" s="1" t="s">
        <v>60</v>
      </c>
      <c r="M15" s="10">
        <v>673.61</v>
      </c>
      <c r="N15" s="8">
        <v>2</v>
      </c>
      <c r="O15" s="6">
        <v>0.43</v>
      </c>
      <c r="P15" s="10">
        <v>365.61</v>
      </c>
      <c r="Q15" s="11">
        <f t="shared" si="2"/>
        <v>308</v>
      </c>
      <c r="R15" t="str">
        <f t="shared" si="5"/>
        <v>profit</v>
      </c>
      <c r="V15" t="s">
        <v>2003</v>
      </c>
    </row>
    <row r="16" spans="1:23" ht="15.75" customHeight="1" x14ac:dyDescent="0.4">
      <c r="A16" s="1" t="s">
        <v>61</v>
      </c>
      <c r="B16" s="2">
        <v>45221</v>
      </c>
      <c r="C16" s="2">
        <v>45222</v>
      </c>
      <c r="D16" s="2" t="str">
        <f t="shared" si="3"/>
        <v>2023</v>
      </c>
      <c r="E16" s="2" t="str">
        <f t="shared" si="0"/>
        <v>October</v>
      </c>
      <c r="F16" s="2" t="str">
        <f t="shared" si="4"/>
        <v>Q4</v>
      </c>
      <c r="G16" s="13">
        <f t="shared" si="1"/>
        <v>1</v>
      </c>
      <c r="H16" s="12" t="s">
        <v>23</v>
      </c>
      <c r="I16" s="1" t="s">
        <v>29</v>
      </c>
      <c r="J16" s="1" t="s">
        <v>25</v>
      </c>
      <c r="K16" s="1" t="s">
        <v>26</v>
      </c>
      <c r="L16" s="1" t="s">
        <v>62</v>
      </c>
      <c r="M16" s="10">
        <v>920.75</v>
      </c>
      <c r="N16" s="8">
        <v>3</v>
      </c>
      <c r="O16" s="6">
        <v>0.18</v>
      </c>
      <c r="P16" s="10">
        <v>728.95</v>
      </c>
      <c r="Q16" s="11">
        <f t="shared" si="2"/>
        <v>191.79999999999995</v>
      </c>
      <c r="R16" t="str">
        <f t="shared" si="5"/>
        <v>profit</v>
      </c>
      <c r="V16" t="s">
        <v>2002</v>
      </c>
      <c r="W16">
        <f>COUNTIF(M2:M1011, V16)</f>
        <v>478</v>
      </c>
    </row>
    <row r="17" spans="1:23" ht="15.75" customHeight="1" x14ac:dyDescent="0.4">
      <c r="A17" s="1" t="s">
        <v>63</v>
      </c>
      <c r="B17" s="2">
        <v>45451</v>
      </c>
      <c r="C17" s="2">
        <v>45454</v>
      </c>
      <c r="D17" s="2" t="str">
        <f t="shared" si="3"/>
        <v>2024</v>
      </c>
      <c r="E17" s="2" t="str">
        <f t="shared" si="0"/>
        <v>June</v>
      </c>
      <c r="F17" s="2" t="str">
        <f t="shared" si="4"/>
        <v>Q3</v>
      </c>
      <c r="G17" s="13">
        <f t="shared" si="1"/>
        <v>3</v>
      </c>
      <c r="H17" s="12" t="s">
        <v>42</v>
      </c>
      <c r="I17" s="1" t="s">
        <v>29</v>
      </c>
      <c r="J17" s="1" t="s">
        <v>25</v>
      </c>
      <c r="K17" s="1" t="s">
        <v>47</v>
      </c>
      <c r="L17" s="1" t="s">
        <v>64</v>
      </c>
      <c r="M17" s="10">
        <v>823.23</v>
      </c>
      <c r="N17" s="8">
        <v>3</v>
      </c>
      <c r="O17" s="6">
        <v>0.3</v>
      </c>
      <c r="P17" s="10">
        <v>556.75</v>
      </c>
      <c r="Q17" s="11">
        <f t="shared" si="2"/>
        <v>266.48</v>
      </c>
      <c r="R17" t="str">
        <f t="shared" si="5"/>
        <v>profit</v>
      </c>
      <c r="V17" t="s">
        <v>2004</v>
      </c>
      <c r="W17">
        <f>COUNTIF(O:O, V17)</f>
        <v>685</v>
      </c>
    </row>
    <row r="18" spans="1:23" ht="15.75" customHeight="1" x14ac:dyDescent="0.4">
      <c r="A18" s="1" t="s">
        <v>65</v>
      </c>
      <c r="B18" s="2">
        <v>45277</v>
      </c>
      <c r="C18" s="2">
        <v>45285</v>
      </c>
      <c r="D18" s="2" t="str">
        <f t="shared" si="3"/>
        <v>2023</v>
      </c>
      <c r="E18" s="2" t="str">
        <f t="shared" si="0"/>
        <v>December</v>
      </c>
      <c r="F18" s="2" t="str">
        <f t="shared" si="4"/>
        <v>Q4</v>
      </c>
      <c r="G18" s="13">
        <f t="shared" si="1"/>
        <v>8</v>
      </c>
      <c r="H18" s="12" t="s">
        <v>1987</v>
      </c>
      <c r="I18" s="1" t="s">
        <v>53</v>
      </c>
      <c r="J18" s="1" t="s">
        <v>19</v>
      </c>
      <c r="K18" s="1" t="s">
        <v>20</v>
      </c>
      <c r="L18" s="1" t="s">
        <v>66</v>
      </c>
      <c r="M18" s="10">
        <v>768.87</v>
      </c>
      <c r="N18" s="8">
        <v>10</v>
      </c>
      <c r="O18" s="6">
        <v>0.41</v>
      </c>
      <c r="P18" s="10">
        <v>437.56</v>
      </c>
      <c r="Q18" s="11">
        <f t="shared" si="2"/>
        <v>331.31</v>
      </c>
      <c r="R18" t="str">
        <f t="shared" si="5"/>
        <v>profit</v>
      </c>
    </row>
    <row r="19" spans="1:23" ht="15.75" customHeight="1" x14ac:dyDescent="0.4">
      <c r="A19" s="1" t="s">
        <v>67</v>
      </c>
      <c r="B19" s="2">
        <v>44927</v>
      </c>
      <c r="C19" s="2">
        <v>44931</v>
      </c>
      <c r="D19" s="2" t="str">
        <f t="shared" si="3"/>
        <v>2023</v>
      </c>
      <c r="E19" s="2" t="str">
        <f t="shared" si="0"/>
        <v>January</v>
      </c>
      <c r="F19" s="2" t="str">
        <f t="shared" si="4"/>
        <v>Q1</v>
      </c>
      <c r="G19" s="13">
        <f t="shared" si="1"/>
        <v>4</v>
      </c>
      <c r="H19" s="12" t="s">
        <v>42</v>
      </c>
      <c r="I19" s="1" t="s">
        <v>18</v>
      </c>
      <c r="J19" s="1" t="s">
        <v>19</v>
      </c>
      <c r="K19" s="1" t="s">
        <v>35</v>
      </c>
      <c r="L19" s="1" t="s">
        <v>68</v>
      </c>
      <c r="M19" s="10">
        <v>682.23</v>
      </c>
      <c r="N19" s="8">
        <v>1</v>
      </c>
      <c r="O19" s="6">
        <v>0.47</v>
      </c>
      <c r="P19" s="10">
        <v>346.81</v>
      </c>
      <c r="Q19" s="11">
        <f t="shared" si="2"/>
        <v>335.42</v>
      </c>
      <c r="R19" t="str">
        <f t="shared" si="5"/>
        <v>profit</v>
      </c>
    </row>
    <row r="20" spans="1:23" ht="15.75" customHeight="1" x14ac:dyDescent="0.4">
      <c r="A20" s="1" t="s">
        <v>69</v>
      </c>
      <c r="B20" s="2">
        <v>45412</v>
      </c>
      <c r="C20" s="2">
        <v>45418</v>
      </c>
      <c r="D20" s="2" t="str">
        <f t="shared" si="3"/>
        <v>2024</v>
      </c>
      <c r="E20" s="2" t="str">
        <f t="shared" si="0"/>
        <v>May</v>
      </c>
      <c r="F20" s="2" t="str">
        <f t="shared" si="4"/>
        <v>Q2</v>
      </c>
      <c r="G20" s="13">
        <f t="shared" si="1"/>
        <v>6</v>
      </c>
      <c r="H20" s="12" t="s">
        <v>1986</v>
      </c>
      <c r="I20" s="1" t="s">
        <v>29</v>
      </c>
      <c r="J20" s="1" t="s">
        <v>14</v>
      </c>
      <c r="K20" s="1" t="s">
        <v>54</v>
      </c>
      <c r="L20" s="1" t="s">
        <v>70</v>
      </c>
      <c r="M20" s="10">
        <v>611.53</v>
      </c>
      <c r="N20" s="8">
        <v>4</v>
      </c>
      <c r="O20" s="6">
        <v>0.26</v>
      </c>
      <c r="P20" s="10">
        <v>423.1</v>
      </c>
      <c r="Q20" s="11">
        <f t="shared" si="2"/>
        <v>188.42999999999995</v>
      </c>
      <c r="R20" t="str">
        <f t="shared" si="5"/>
        <v>profit</v>
      </c>
      <c r="V20" t="s">
        <v>2005</v>
      </c>
    </row>
    <row r="21" spans="1:23" ht="15.75" customHeight="1" x14ac:dyDescent="0.4">
      <c r="A21" s="1" t="s">
        <v>71</v>
      </c>
      <c r="B21" s="2">
        <v>45260</v>
      </c>
      <c r="C21" s="2">
        <v>45264</v>
      </c>
      <c r="D21" s="2" t="str">
        <f t="shared" si="3"/>
        <v>2023</v>
      </c>
      <c r="E21" s="2" t="str">
        <f t="shared" si="0"/>
        <v>December</v>
      </c>
      <c r="F21" s="2" t="str">
        <f t="shared" si="4"/>
        <v>Q4</v>
      </c>
      <c r="G21" s="13">
        <f t="shared" si="1"/>
        <v>4</v>
      </c>
      <c r="H21" s="12" t="s">
        <v>42</v>
      </c>
      <c r="I21" s="1" t="s">
        <v>53</v>
      </c>
      <c r="J21" s="1" t="s">
        <v>25</v>
      </c>
      <c r="K21" s="1" t="s">
        <v>43</v>
      </c>
      <c r="L21" s="1" t="s">
        <v>72</v>
      </c>
      <c r="M21" s="10">
        <v>334.82</v>
      </c>
      <c r="N21" s="8">
        <v>7</v>
      </c>
      <c r="O21" s="6">
        <v>0.22</v>
      </c>
      <c r="P21" s="10">
        <v>215.45</v>
      </c>
      <c r="Q21" s="11">
        <f t="shared" si="2"/>
        <v>119.37</v>
      </c>
      <c r="R21" t="str">
        <f t="shared" si="5"/>
        <v>profit</v>
      </c>
    </row>
    <row r="22" spans="1:23" ht="15.75" customHeight="1" x14ac:dyDescent="0.4">
      <c r="A22" s="1" t="s">
        <v>73</v>
      </c>
      <c r="B22" s="2">
        <v>45009</v>
      </c>
      <c r="C22" s="2">
        <v>45016</v>
      </c>
      <c r="D22" s="2" t="str">
        <f t="shared" si="3"/>
        <v>2023</v>
      </c>
      <c r="E22" s="2" t="str">
        <f t="shared" si="0"/>
        <v>March</v>
      </c>
      <c r="F22" s="2" t="str">
        <f t="shared" si="4"/>
        <v>Q2</v>
      </c>
      <c r="G22" s="13">
        <f t="shared" si="1"/>
        <v>7</v>
      </c>
      <c r="H22" s="12" t="s">
        <v>1987</v>
      </c>
      <c r="I22" s="1" t="s">
        <v>50</v>
      </c>
      <c r="J22" s="1" t="s">
        <v>25</v>
      </c>
      <c r="K22" s="1" t="s">
        <v>43</v>
      </c>
      <c r="L22" s="1" t="s">
        <v>74</v>
      </c>
      <c r="M22" s="10">
        <v>784.24</v>
      </c>
      <c r="N22" s="8">
        <v>9</v>
      </c>
      <c r="O22" s="6">
        <v>0.46</v>
      </c>
      <c r="P22" s="10">
        <v>400.81</v>
      </c>
      <c r="Q22" s="11">
        <f t="shared" si="2"/>
        <v>383.43</v>
      </c>
      <c r="R22" t="str">
        <f t="shared" si="5"/>
        <v>profit</v>
      </c>
    </row>
    <row r="23" spans="1:23" ht="15.75" customHeight="1" x14ac:dyDescent="0.4">
      <c r="A23" s="1" t="s">
        <v>75</v>
      </c>
      <c r="B23" s="2">
        <v>45560</v>
      </c>
      <c r="C23" s="2">
        <v>45563</v>
      </c>
      <c r="D23" s="2" t="str">
        <f t="shared" si="3"/>
        <v>2024</v>
      </c>
      <c r="E23" s="2" t="str">
        <f t="shared" si="0"/>
        <v>September</v>
      </c>
      <c r="F23" s="2" t="str">
        <f t="shared" si="4"/>
        <v>Q4</v>
      </c>
      <c r="G23" s="13">
        <f t="shared" si="1"/>
        <v>3</v>
      </c>
      <c r="H23" s="12" t="s">
        <v>23</v>
      </c>
      <c r="I23" s="1" t="s">
        <v>59</v>
      </c>
      <c r="J23" s="1" t="s">
        <v>19</v>
      </c>
      <c r="K23" s="1" t="s">
        <v>35</v>
      </c>
      <c r="L23" s="1" t="s">
        <v>76</v>
      </c>
      <c r="M23" s="10">
        <v>183.05</v>
      </c>
      <c r="N23" s="8">
        <v>9</v>
      </c>
      <c r="O23" s="6">
        <v>0.02</v>
      </c>
      <c r="P23" s="10">
        <v>163.41999999999999</v>
      </c>
      <c r="Q23" s="11">
        <f t="shared" si="2"/>
        <v>19.630000000000024</v>
      </c>
      <c r="R23" t="str">
        <f t="shared" si="5"/>
        <v>profit</v>
      </c>
    </row>
    <row r="24" spans="1:23" ht="15.75" customHeight="1" x14ac:dyDescent="0.4">
      <c r="A24" s="1" t="s">
        <v>77</v>
      </c>
      <c r="B24" s="2">
        <v>44959</v>
      </c>
      <c r="C24" s="2">
        <v>44968</v>
      </c>
      <c r="D24" s="2" t="str">
        <f t="shared" si="3"/>
        <v>2023</v>
      </c>
      <c r="E24" s="2" t="str">
        <f t="shared" si="0"/>
        <v>February</v>
      </c>
      <c r="F24" s="2" t="str">
        <f t="shared" si="4"/>
        <v>Q1</v>
      </c>
      <c r="G24" s="13">
        <f t="shared" si="1"/>
        <v>9</v>
      </c>
      <c r="H24" s="12" t="s">
        <v>23</v>
      </c>
      <c r="I24" s="1" t="s">
        <v>53</v>
      </c>
      <c r="J24" s="1" t="s">
        <v>19</v>
      </c>
      <c r="K24" s="1" t="s">
        <v>35</v>
      </c>
      <c r="L24" s="1" t="s">
        <v>78</v>
      </c>
      <c r="M24" s="10">
        <v>330.1</v>
      </c>
      <c r="N24" s="8">
        <v>7</v>
      </c>
      <c r="O24" s="6">
        <v>0.08</v>
      </c>
      <c r="P24" s="10">
        <v>261.27999999999997</v>
      </c>
      <c r="Q24" s="11">
        <f t="shared" si="2"/>
        <v>68.82000000000005</v>
      </c>
      <c r="R24" t="str">
        <f t="shared" si="5"/>
        <v>profit</v>
      </c>
    </row>
    <row r="25" spans="1:23" ht="15.75" customHeight="1" x14ac:dyDescent="0.4">
      <c r="A25" s="1" t="s">
        <v>79</v>
      </c>
      <c r="B25" s="2">
        <v>45336</v>
      </c>
      <c r="C25" s="2">
        <v>45341</v>
      </c>
      <c r="D25" s="2" t="str">
        <f t="shared" si="3"/>
        <v>2024</v>
      </c>
      <c r="E25" s="2" t="str">
        <f t="shared" si="0"/>
        <v>February</v>
      </c>
      <c r="F25" s="2" t="str">
        <f t="shared" si="4"/>
        <v>Q1</v>
      </c>
      <c r="G25" s="13">
        <f t="shared" si="1"/>
        <v>5</v>
      </c>
      <c r="H25" s="12" t="s">
        <v>42</v>
      </c>
      <c r="I25" s="1" t="s">
        <v>24</v>
      </c>
      <c r="J25" s="1" t="s">
        <v>14</v>
      </c>
      <c r="K25" s="1" t="s">
        <v>15</v>
      </c>
      <c r="L25" s="1" t="s">
        <v>80</v>
      </c>
      <c r="M25" s="10">
        <v>387.13</v>
      </c>
      <c r="N25" s="8">
        <v>1</v>
      </c>
      <c r="O25" s="6">
        <v>0.05</v>
      </c>
      <c r="P25" s="10">
        <v>333.61</v>
      </c>
      <c r="Q25" s="11">
        <f t="shared" si="2"/>
        <v>53.519999999999982</v>
      </c>
      <c r="R25" t="str">
        <f t="shared" si="5"/>
        <v>profit</v>
      </c>
    </row>
    <row r="26" spans="1:23" ht="15.75" customHeight="1" x14ac:dyDescent="0.4">
      <c r="A26" s="1" t="s">
        <v>81</v>
      </c>
      <c r="B26" s="2">
        <v>45578</v>
      </c>
      <c r="C26" s="2">
        <v>45587</v>
      </c>
      <c r="D26" s="2" t="str">
        <f t="shared" si="3"/>
        <v>2024</v>
      </c>
      <c r="E26" s="2" t="str">
        <f t="shared" si="0"/>
        <v>October</v>
      </c>
      <c r="F26" s="2" t="str">
        <f t="shared" si="4"/>
        <v>Q4</v>
      </c>
      <c r="G26" s="13">
        <f t="shared" si="1"/>
        <v>9</v>
      </c>
      <c r="H26" s="12" t="s">
        <v>1987</v>
      </c>
      <c r="I26" s="1" t="s">
        <v>50</v>
      </c>
      <c r="J26" s="1" t="s">
        <v>14</v>
      </c>
      <c r="K26" s="1" t="s">
        <v>54</v>
      </c>
      <c r="L26" s="1" t="s">
        <v>82</v>
      </c>
      <c r="M26" s="10">
        <v>226.4</v>
      </c>
      <c r="N26" s="8">
        <v>6</v>
      </c>
      <c r="O26" s="6">
        <v>0.11</v>
      </c>
      <c r="P26" s="10">
        <v>191.2</v>
      </c>
      <c r="Q26" s="11">
        <f t="shared" si="2"/>
        <v>35.200000000000017</v>
      </c>
      <c r="R26" t="str">
        <f t="shared" si="5"/>
        <v>profit</v>
      </c>
    </row>
    <row r="27" spans="1:23" ht="15.75" customHeight="1" x14ac:dyDescent="0.4">
      <c r="A27" s="1" t="s">
        <v>83</v>
      </c>
      <c r="B27" s="2">
        <v>45301</v>
      </c>
      <c r="C27" s="2">
        <v>45306</v>
      </c>
      <c r="D27" s="2" t="str">
        <f t="shared" si="3"/>
        <v>2024</v>
      </c>
      <c r="E27" s="2" t="str">
        <f t="shared" si="0"/>
        <v>January</v>
      </c>
      <c r="F27" s="2" t="str">
        <f t="shared" si="4"/>
        <v>Q1</v>
      </c>
      <c r="G27" s="13">
        <f t="shared" si="1"/>
        <v>5</v>
      </c>
      <c r="H27" s="12" t="s">
        <v>1986</v>
      </c>
      <c r="I27" s="1" t="s">
        <v>18</v>
      </c>
      <c r="J27" s="1" t="s">
        <v>25</v>
      </c>
      <c r="K27" s="1" t="s">
        <v>26</v>
      </c>
      <c r="L27" s="1" t="s">
        <v>84</v>
      </c>
      <c r="M27" s="10">
        <v>419.98</v>
      </c>
      <c r="N27" s="8">
        <v>7</v>
      </c>
      <c r="O27" s="6">
        <v>0.12</v>
      </c>
      <c r="P27" s="10">
        <v>326.87</v>
      </c>
      <c r="Q27" s="11">
        <f t="shared" si="2"/>
        <v>93.110000000000014</v>
      </c>
      <c r="R27" t="str">
        <f t="shared" si="5"/>
        <v>profit</v>
      </c>
    </row>
    <row r="28" spans="1:23" ht="15.75" customHeight="1" x14ac:dyDescent="0.4">
      <c r="A28" s="1" t="s">
        <v>85</v>
      </c>
      <c r="B28" s="2">
        <v>45296</v>
      </c>
      <c r="C28" s="2">
        <v>45305</v>
      </c>
      <c r="D28" s="2" t="str">
        <f t="shared" si="3"/>
        <v>2024</v>
      </c>
      <c r="E28" s="2" t="str">
        <f t="shared" si="0"/>
        <v>January</v>
      </c>
      <c r="F28" s="2" t="str">
        <f t="shared" si="4"/>
        <v>Q1</v>
      </c>
      <c r="G28" s="13">
        <f t="shared" si="1"/>
        <v>9</v>
      </c>
      <c r="H28" s="12" t="s">
        <v>1987</v>
      </c>
      <c r="I28" s="1" t="s">
        <v>59</v>
      </c>
      <c r="J28" s="1" t="s">
        <v>25</v>
      </c>
      <c r="K28" s="1" t="s">
        <v>26</v>
      </c>
      <c r="L28" s="1" t="s">
        <v>86</v>
      </c>
      <c r="M28" s="10">
        <v>160.34</v>
      </c>
      <c r="N28" s="8">
        <v>6</v>
      </c>
      <c r="O28" s="6">
        <v>0.05</v>
      </c>
      <c r="P28" s="10">
        <v>134.03</v>
      </c>
      <c r="Q28" s="11">
        <f t="shared" si="2"/>
        <v>26.310000000000002</v>
      </c>
      <c r="R28" t="str">
        <f t="shared" si="5"/>
        <v>profit</v>
      </c>
    </row>
    <row r="29" spans="1:23" ht="15.75" customHeight="1" x14ac:dyDescent="0.4">
      <c r="A29" s="1" t="s">
        <v>87</v>
      </c>
      <c r="B29" s="2">
        <v>45137</v>
      </c>
      <c r="C29" s="2">
        <v>45141</v>
      </c>
      <c r="D29" s="2" t="str">
        <f t="shared" si="3"/>
        <v>2023</v>
      </c>
      <c r="E29" s="2" t="str">
        <f t="shared" si="0"/>
        <v>August</v>
      </c>
      <c r="F29" s="2" t="str">
        <f t="shared" si="4"/>
        <v>Q3</v>
      </c>
      <c r="G29" s="13">
        <f t="shared" si="1"/>
        <v>4</v>
      </c>
      <c r="H29" s="12" t="s">
        <v>23</v>
      </c>
      <c r="I29" s="1" t="s">
        <v>46</v>
      </c>
      <c r="J29" s="1" t="s">
        <v>19</v>
      </c>
      <c r="K29" s="1" t="s">
        <v>20</v>
      </c>
      <c r="L29" s="1" t="s">
        <v>88</v>
      </c>
      <c r="M29" s="10">
        <v>547.98</v>
      </c>
      <c r="N29" s="8">
        <v>4</v>
      </c>
      <c r="O29" s="6">
        <v>0.17</v>
      </c>
      <c r="P29" s="10">
        <v>425.62</v>
      </c>
      <c r="Q29" s="11">
        <f t="shared" si="2"/>
        <v>122.36000000000001</v>
      </c>
      <c r="R29" t="str">
        <f t="shared" si="5"/>
        <v>profit</v>
      </c>
    </row>
    <row r="30" spans="1:23" ht="15.75" customHeight="1" x14ac:dyDescent="0.4">
      <c r="A30" s="1" t="s">
        <v>89</v>
      </c>
      <c r="B30" s="2">
        <v>45003</v>
      </c>
      <c r="C30" s="2">
        <v>45010</v>
      </c>
      <c r="D30" s="2" t="str">
        <f t="shared" si="3"/>
        <v>2023</v>
      </c>
      <c r="E30" s="2" t="str">
        <f t="shared" si="0"/>
        <v>March</v>
      </c>
      <c r="F30" s="2" t="str">
        <f t="shared" si="4"/>
        <v>Q2</v>
      </c>
      <c r="G30" s="13">
        <f t="shared" si="1"/>
        <v>7</v>
      </c>
      <c r="H30" s="12" t="s">
        <v>1987</v>
      </c>
      <c r="I30" s="1" t="s">
        <v>53</v>
      </c>
      <c r="J30" s="1" t="s">
        <v>19</v>
      </c>
      <c r="K30" s="1" t="s">
        <v>20</v>
      </c>
      <c r="L30" s="1" t="s">
        <v>90</v>
      </c>
      <c r="M30" s="10">
        <v>959.13</v>
      </c>
      <c r="N30" s="8">
        <v>10</v>
      </c>
      <c r="O30" s="6">
        <v>7.0000000000000007E-2</v>
      </c>
      <c r="P30" s="10">
        <v>852.45</v>
      </c>
      <c r="Q30" s="11">
        <f t="shared" si="2"/>
        <v>106.67999999999995</v>
      </c>
      <c r="R30" t="str">
        <f t="shared" si="5"/>
        <v>profit</v>
      </c>
    </row>
    <row r="31" spans="1:23" ht="15.75" customHeight="1" x14ac:dyDescent="0.4">
      <c r="A31" s="1" t="s">
        <v>91</v>
      </c>
      <c r="B31" s="2">
        <v>45310</v>
      </c>
      <c r="C31" s="2">
        <v>45313</v>
      </c>
      <c r="D31" s="2" t="str">
        <f t="shared" si="3"/>
        <v>2024</v>
      </c>
      <c r="E31" s="2" t="str">
        <f t="shared" si="0"/>
        <v>January</v>
      </c>
      <c r="F31" s="2" t="str">
        <f t="shared" si="4"/>
        <v>Q1</v>
      </c>
      <c r="G31" s="13">
        <f t="shared" si="1"/>
        <v>3</v>
      </c>
      <c r="H31" s="12" t="s">
        <v>42</v>
      </c>
      <c r="I31" s="1" t="s">
        <v>13</v>
      </c>
      <c r="J31" s="1" t="s">
        <v>19</v>
      </c>
      <c r="K31" s="1" t="s">
        <v>92</v>
      </c>
      <c r="L31" s="1" t="s">
        <v>93</v>
      </c>
      <c r="M31" s="10">
        <v>128.49</v>
      </c>
      <c r="N31" s="8">
        <v>10</v>
      </c>
      <c r="O31" s="6">
        <v>0.1</v>
      </c>
      <c r="P31" s="10">
        <v>95.06</v>
      </c>
      <c r="Q31" s="11">
        <f t="shared" si="2"/>
        <v>33.430000000000007</v>
      </c>
      <c r="R31" t="str">
        <f t="shared" si="5"/>
        <v>profit</v>
      </c>
    </row>
    <row r="32" spans="1:23" ht="15.75" customHeight="1" x14ac:dyDescent="0.4">
      <c r="A32" s="1" t="s">
        <v>94</v>
      </c>
      <c r="B32" s="2">
        <v>45093</v>
      </c>
      <c r="C32" s="2">
        <v>45097</v>
      </c>
      <c r="D32" s="2" t="str">
        <f t="shared" si="3"/>
        <v>2023</v>
      </c>
      <c r="E32" s="2" t="str">
        <f t="shared" si="0"/>
        <v>June</v>
      </c>
      <c r="F32" s="2" t="str">
        <f t="shared" si="4"/>
        <v>Q3</v>
      </c>
      <c r="G32" s="13">
        <f t="shared" si="1"/>
        <v>4</v>
      </c>
      <c r="H32" s="12" t="s">
        <v>1987</v>
      </c>
      <c r="I32" s="1" t="s">
        <v>50</v>
      </c>
      <c r="J32" s="1" t="s">
        <v>14</v>
      </c>
      <c r="K32" s="1" t="s">
        <v>54</v>
      </c>
      <c r="L32" s="1" t="s">
        <v>95</v>
      </c>
      <c r="M32" s="10">
        <v>60.73</v>
      </c>
      <c r="N32" s="8">
        <v>10</v>
      </c>
      <c r="O32" s="6">
        <v>0.26</v>
      </c>
      <c r="P32" s="10">
        <v>4.09</v>
      </c>
      <c r="Q32" s="11">
        <f t="shared" si="2"/>
        <v>56.64</v>
      </c>
      <c r="R32" t="str">
        <f t="shared" si="5"/>
        <v>profit</v>
      </c>
    </row>
    <row r="33" spans="1:18" ht="15.75" customHeight="1" x14ac:dyDescent="0.4">
      <c r="A33" s="1" t="s">
        <v>96</v>
      </c>
      <c r="B33" s="2">
        <v>45232</v>
      </c>
      <c r="C33" s="2">
        <v>45236</v>
      </c>
      <c r="D33" s="2" t="str">
        <f t="shared" si="3"/>
        <v>2023</v>
      </c>
      <c r="E33" s="2" t="str">
        <f t="shared" si="0"/>
        <v>November</v>
      </c>
      <c r="F33" s="2" t="str">
        <f t="shared" si="4"/>
        <v>Q4</v>
      </c>
      <c r="G33" s="13">
        <f t="shared" si="1"/>
        <v>4</v>
      </c>
      <c r="H33" s="12" t="s">
        <v>1987</v>
      </c>
      <c r="I33" s="1" t="s">
        <v>13</v>
      </c>
      <c r="J33" s="1" t="s">
        <v>14</v>
      </c>
      <c r="K33" s="1" t="s">
        <v>15</v>
      </c>
      <c r="L33" s="1" t="s">
        <v>97</v>
      </c>
      <c r="M33" s="10">
        <v>599.55999999999995</v>
      </c>
      <c r="N33" s="8">
        <v>10</v>
      </c>
      <c r="O33" s="6">
        <v>0.26</v>
      </c>
      <c r="P33" s="10">
        <v>432.05</v>
      </c>
      <c r="Q33" s="11">
        <f t="shared" si="2"/>
        <v>167.50999999999993</v>
      </c>
      <c r="R33" t="str">
        <f t="shared" si="5"/>
        <v>profit</v>
      </c>
    </row>
    <row r="34" spans="1:18" ht="15.75" customHeight="1" x14ac:dyDescent="0.4">
      <c r="A34" s="1" t="s">
        <v>98</v>
      </c>
      <c r="B34" s="2">
        <v>45568</v>
      </c>
      <c r="C34" s="2">
        <v>45575</v>
      </c>
      <c r="D34" s="2" t="str">
        <f t="shared" si="3"/>
        <v>2024</v>
      </c>
      <c r="E34" s="2" t="str">
        <f t="shared" si="0"/>
        <v>October</v>
      </c>
      <c r="F34" s="2" t="str">
        <f t="shared" si="4"/>
        <v>Q4</v>
      </c>
      <c r="G34" s="13">
        <f t="shared" si="1"/>
        <v>7</v>
      </c>
      <c r="H34" s="12" t="s">
        <v>42</v>
      </c>
      <c r="I34" s="1" t="s">
        <v>46</v>
      </c>
      <c r="J34" s="1" t="s">
        <v>19</v>
      </c>
      <c r="K34" s="1" t="s">
        <v>92</v>
      </c>
      <c r="L34" s="1" t="s">
        <v>99</v>
      </c>
      <c r="M34" s="10">
        <v>371.72</v>
      </c>
      <c r="N34" s="8">
        <v>1</v>
      </c>
      <c r="O34" s="6">
        <v>0.4</v>
      </c>
      <c r="P34" s="10">
        <v>206.38</v>
      </c>
      <c r="Q34" s="11">
        <f t="shared" si="2"/>
        <v>165.34000000000003</v>
      </c>
      <c r="R34" t="str">
        <f t="shared" si="5"/>
        <v>profit</v>
      </c>
    </row>
    <row r="35" spans="1:18" ht="15.75" customHeight="1" x14ac:dyDescent="0.4">
      <c r="A35" s="1" t="s">
        <v>100</v>
      </c>
      <c r="B35" s="2">
        <v>45362</v>
      </c>
      <c r="C35" s="2">
        <v>45363</v>
      </c>
      <c r="D35" s="2" t="str">
        <f t="shared" si="3"/>
        <v>2024</v>
      </c>
      <c r="E35" s="2" t="str">
        <f t="shared" si="0"/>
        <v>March</v>
      </c>
      <c r="F35" s="2" t="str">
        <f t="shared" si="4"/>
        <v>Q2</v>
      </c>
      <c r="G35" s="13">
        <f t="shared" si="1"/>
        <v>1</v>
      </c>
      <c r="H35" s="12" t="s">
        <v>23</v>
      </c>
      <c r="I35" s="1" t="s">
        <v>29</v>
      </c>
      <c r="J35" s="1" t="s">
        <v>19</v>
      </c>
      <c r="K35" s="1" t="s">
        <v>92</v>
      </c>
      <c r="L35" s="1" t="s">
        <v>101</v>
      </c>
      <c r="M35" s="10">
        <v>259.92</v>
      </c>
      <c r="N35" s="8">
        <v>6</v>
      </c>
      <c r="O35" s="6">
        <v>0.05</v>
      </c>
      <c r="P35" s="10">
        <v>219.91</v>
      </c>
      <c r="Q35" s="11">
        <f t="shared" si="2"/>
        <v>40.010000000000019</v>
      </c>
      <c r="R35" t="str">
        <f t="shared" si="5"/>
        <v>profit</v>
      </c>
    </row>
    <row r="36" spans="1:18" ht="15.75" customHeight="1" x14ac:dyDescent="0.4">
      <c r="A36" s="1" t="s">
        <v>102</v>
      </c>
      <c r="B36" s="2">
        <v>45587</v>
      </c>
      <c r="C36" s="2">
        <v>45595</v>
      </c>
      <c r="D36" s="2" t="str">
        <f t="shared" si="3"/>
        <v>2024</v>
      </c>
      <c r="E36" s="2" t="str">
        <f t="shared" si="0"/>
        <v>October</v>
      </c>
      <c r="F36" s="2" t="str">
        <f t="shared" si="4"/>
        <v>Q4</v>
      </c>
      <c r="G36" s="13">
        <f t="shared" si="1"/>
        <v>8</v>
      </c>
      <c r="H36" s="12" t="s">
        <v>23</v>
      </c>
      <c r="I36" s="1" t="s">
        <v>53</v>
      </c>
      <c r="J36" s="1" t="s">
        <v>19</v>
      </c>
      <c r="K36" s="1" t="s">
        <v>35</v>
      </c>
      <c r="L36" s="1" t="s">
        <v>103</v>
      </c>
      <c r="M36" s="10">
        <v>250.66</v>
      </c>
      <c r="N36" s="8">
        <v>7</v>
      </c>
      <c r="O36" s="6">
        <v>0.33</v>
      </c>
      <c r="P36" s="10">
        <v>145.91999999999999</v>
      </c>
      <c r="Q36" s="11">
        <f t="shared" si="2"/>
        <v>104.74000000000001</v>
      </c>
      <c r="R36" t="str">
        <f t="shared" si="5"/>
        <v>profit</v>
      </c>
    </row>
    <row r="37" spans="1:18" ht="15.75" customHeight="1" x14ac:dyDescent="0.4">
      <c r="A37" s="1" t="s">
        <v>104</v>
      </c>
      <c r="B37" s="2">
        <v>45324</v>
      </c>
      <c r="C37" s="2">
        <v>45332</v>
      </c>
      <c r="D37" s="2" t="str">
        <f t="shared" si="3"/>
        <v>2024</v>
      </c>
      <c r="E37" s="2" t="str">
        <f t="shared" si="0"/>
        <v>February</v>
      </c>
      <c r="F37" s="2" t="str">
        <f t="shared" si="4"/>
        <v>Q1</v>
      </c>
      <c r="G37" s="13">
        <f t="shared" si="1"/>
        <v>8</v>
      </c>
      <c r="H37" s="12" t="s">
        <v>1987</v>
      </c>
      <c r="I37" s="1" t="s">
        <v>53</v>
      </c>
      <c r="J37" s="1" t="s">
        <v>19</v>
      </c>
      <c r="K37" s="1" t="s">
        <v>20</v>
      </c>
      <c r="L37" s="1" t="s">
        <v>105</v>
      </c>
      <c r="M37" s="10">
        <v>768.67</v>
      </c>
      <c r="N37" s="8">
        <v>3</v>
      </c>
      <c r="O37" s="6">
        <v>0.12</v>
      </c>
      <c r="P37" s="10">
        <v>644.67999999999995</v>
      </c>
      <c r="Q37" s="11">
        <f t="shared" si="2"/>
        <v>123.99000000000001</v>
      </c>
      <c r="R37" t="str">
        <f t="shared" si="5"/>
        <v>profit</v>
      </c>
    </row>
    <row r="38" spans="1:18" ht="15.75" customHeight="1" x14ac:dyDescent="0.4">
      <c r="A38" s="1" t="s">
        <v>106</v>
      </c>
      <c r="B38" s="2">
        <v>45230</v>
      </c>
      <c r="C38" s="2">
        <v>45235</v>
      </c>
      <c r="D38" s="2" t="str">
        <f t="shared" si="3"/>
        <v>2023</v>
      </c>
      <c r="E38" s="2" t="str">
        <f t="shared" si="0"/>
        <v>November</v>
      </c>
      <c r="F38" s="2" t="str">
        <f t="shared" si="4"/>
        <v>Q4</v>
      </c>
      <c r="G38" s="13">
        <f t="shared" si="1"/>
        <v>5</v>
      </c>
      <c r="H38" s="12" t="s">
        <v>42</v>
      </c>
      <c r="I38" s="1" t="s">
        <v>18</v>
      </c>
      <c r="J38" s="1" t="s">
        <v>25</v>
      </c>
      <c r="K38" s="1" t="s">
        <v>43</v>
      </c>
      <c r="L38" s="1" t="s">
        <v>107</v>
      </c>
      <c r="M38" s="10">
        <v>364.4</v>
      </c>
      <c r="N38" s="8">
        <v>3</v>
      </c>
      <c r="O38" s="6">
        <v>0.12</v>
      </c>
      <c r="P38" s="10">
        <v>281.66000000000003</v>
      </c>
      <c r="Q38" s="11">
        <f t="shared" si="2"/>
        <v>82.739999999999952</v>
      </c>
      <c r="R38" t="str">
        <f t="shared" si="5"/>
        <v>profit</v>
      </c>
    </row>
    <row r="39" spans="1:18" ht="15.75" customHeight="1" x14ac:dyDescent="0.4">
      <c r="A39" s="1" t="s">
        <v>108</v>
      </c>
      <c r="B39" s="2">
        <v>45315</v>
      </c>
      <c r="C39" s="2">
        <v>45321</v>
      </c>
      <c r="D39" s="2" t="str">
        <f t="shared" si="3"/>
        <v>2024</v>
      </c>
      <c r="E39" s="2" t="str">
        <f t="shared" si="0"/>
        <v>January</v>
      </c>
      <c r="F39" s="2" t="str">
        <f t="shared" si="4"/>
        <v>Q1</v>
      </c>
      <c r="G39" s="13">
        <f t="shared" si="1"/>
        <v>6</v>
      </c>
      <c r="H39" s="12" t="s">
        <v>1987</v>
      </c>
      <c r="I39" s="1" t="s">
        <v>53</v>
      </c>
      <c r="J39" s="1" t="s">
        <v>25</v>
      </c>
      <c r="K39" s="1" t="s">
        <v>43</v>
      </c>
      <c r="L39" s="1" t="s">
        <v>109</v>
      </c>
      <c r="M39" s="10">
        <v>696.8</v>
      </c>
      <c r="N39" s="8">
        <v>8</v>
      </c>
      <c r="O39" s="6">
        <v>0.11</v>
      </c>
      <c r="P39" s="10">
        <v>598</v>
      </c>
      <c r="Q39" s="11">
        <f t="shared" si="2"/>
        <v>98.799999999999955</v>
      </c>
      <c r="R39" t="str">
        <f t="shared" si="5"/>
        <v>profit</v>
      </c>
    </row>
    <row r="40" spans="1:18" ht="15.75" customHeight="1" x14ac:dyDescent="0.4">
      <c r="A40" s="1" t="s">
        <v>110</v>
      </c>
      <c r="B40" s="2">
        <v>45544</v>
      </c>
      <c r="C40" s="2">
        <v>45551</v>
      </c>
      <c r="D40" s="2" t="str">
        <f t="shared" si="3"/>
        <v>2024</v>
      </c>
      <c r="E40" s="2" t="str">
        <f t="shared" si="0"/>
        <v>September</v>
      </c>
      <c r="F40" s="2" t="str">
        <f t="shared" si="4"/>
        <v>Q4</v>
      </c>
      <c r="G40" s="13">
        <f t="shared" si="1"/>
        <v>7</v>
      </c>
      <c r="H40" s="12" t="s">
        <v>23</v>
      </c>
      <c r="I40" s="1" t="s">
        <v>29</v>
      </c>
      <c r="J40" s="1" t="s">
        <v>19</v>
      </c>
      <c r="K40" s="1" t="s">
        <v>92</v>
      </c>
      <c r="L40" s="1" t="s">
        <v>111</v>
      </c>
      <c r="M40" s="10">
        <v>146.61000000000001</v>
      </c>
      <c r="N40" s="8">
        <v>7</v>
      </c>
      <c r="O40" s="6">
        <v>0.13</v>
      </c>
      <c r="P40" s="10">
        <v>95.84</v>
      </c>
      <c r="Q40" s="11">
        <f t="shared" si="2"/>
        <v>50.77000000000001</v>
      </c>
      <c r="R40" t="str">
        <f t="shared" si="5"/>
        <v>profit</v>
      </c>
    </row>
    <row r="41" spans="1:18" ht="15.75" customHeight="1" x14ac:dyDescent="0.4">
      <c r="A41" s="1" t="s">
        <v>112</v>
      </c>
      <c r="B41" s="2">
        <v>45628</v>
      </c>
      <c r="C41" s="2">
        <v>45633</v>
      </c>
      <c r="D41" s="2" t="str">
        <f t="shared" si="3"/>
        <v>2024</v>
      </c>
      <c r="E41" s="2" t="str">
        <f t="shared" si="0"/>
        <v>December</v>
      </c>
      <c r="F41" s="2" t="str">
        <f t="shared" si="4"/>
        <v>Q4</v>
      </c>
      <c r="G41" s="13">
        <f t="shared" si="1"/>
        <v>5</v>
      </c>
      <c r="H41" s="12" t="s">
        <v>23</v>
      </c>
      <c r="I41" s="1" t="s">
        <v>29</v>
      </c>
      <c r="J41" s="1" t="s">
        <v>19</v>
      </c>
      <c r="K41" s="1" t="s">
        <v>35</v>
      </c>
      <c r="L41" s="1" t="s">
        <v>113</v>
      </c>
      <c r="M41" s="10">
        <v>396.38</v>
      </c>
      <c r="N41" s="8">
        <v>3</v>
      </c>
      <c r="O41" s="6">
        <v>0.15</v>
      </c>
      <c r="P41" s="10">
        <v>295.47000000000003</v>
      </c>
      <c r="Q41" s="11">
        <f t="shared" si="2"/>
        <v>100.90999999999997</v>
      </c>
      <c r="R41" t="str">
        <f t="shared" si="5"/>
        <v>profit</v>
      </c>
    </row>
    <row r="42" spans="1:18" ht="15.75" customHeight="1" x14ac:dyDescent="0.4">
      <c r="A42" s="1" t="s">
        <v>114</v>
      </c>
      <c r="B42" s="2">
        <v>45146</v>
      </c>
      <c r="C42" s="2">
        <v>45152</v>
      </c>
      <c r="D42" s="2" t="str">
        <f t="shared" si="3"/>
        <v>2023</v>
      </c>
      <c r="E42" s="2" t="str">
        <f t="shared" si="0"/>
        <v>August</v>
      </c>
      <c r="F42" s="2" t="str">
        <f t="shared" si="4"/>
        <v>Q3</v>
      </c>
      <c r="G42" s="13">
        <f t="shared" si="1"/>
        <v>6</v>
      </c>
      <c r="H42" s="12" t="s">
        <v>23</v>
      </c>
      <c r="I42" s="1" t="s">
        <v>46</v>
      </c>
      <c r="J42" s="1" t="s">
        <v>14</v>
      </c>
      <c r="K42" s="1" t="s">
        <v>30</v>
      </c>
      <c r="L42" s="1" t="s">
        <v>115</v>
      </c>
      <c r="M42" s="10">
        <v>276.66000000000003</v>
      </c>
      <c r="N42" s="8">
        <v>3</v>
      </c>
      <c r="O42" s="6">
        <v>0.16</v>
      </c>
      <c r="P42" s="10">
        <v>187.19</v>
      </c>
      <c r="Q42" s="11">
        <f t="shared" si="2"/>
        <v>89.470000000000027</v>
      </c>
      <c r="R42" t="str">
        <f t="shared" si="5"/>
        <v>profit</v>
      </c>
    </row>
    <row r="43" spans="1:18" ht="15.75" customHeight="1" x14ac:dyDescent="0.4">
      <c r="A43" s="1" t="s">
        <v>116</v>
      </c>
      <c r="B43" s="2">
        <v>45338</v>
      </c>
      <c r="C43" s="2">
        <v>45345</v>
      </c>
      <c r="D43" s="2" t="str">
        <f t="shared" si="3"/>
        <v>2024</v>
      </c>
      <c r="E43" s="2" t="str">
        <f t="shared" si="0"/>
        <v>February</v>
      </c>
      <c r="F43" s="2" t="str">
        <f t="shared" si="4"/>
        <v>Q1</v>
      </c>
      <c r="G43" s="13">
        <f t="shared" si="1"/>
        <v>7</v>
      </c>
      <c r="H43" s="12" t="s">
        <v>42</v>
      </c>
      <c r="I43" s="1" t="s">
        <v>46</v>
      </c>
      <c r="J43" s="1" t="s">
        <v>25</v>
      </c>
      <c r="K43" s="1" t="s">
        <v>26</v>
      </c>
      <c r="L43" s="1" t="s">
        <v>117</v>
      </c>
      <c r="M43" s="10">
        <v>434.12</v>
      </c>
      <c r="N43" s="8">
        <v>1</v>
      </c>
      <c r="O43" s="6">
        <v>0.25</v>
      </c>
      <c r="P43" s="10">
        <v>280.36</v>
      </c>
      <c r="Q43" s="11">
        <f t="shared" si="2"/>
        <v>153.76</v>
      </c>
      <c r="R43" t="str">
        <f t="shared" si="5"/>
        <v>profit</v>
      </c>
    </row>
    <row r="44" spans="1:18" ht="15.75" customHeight="1" x14ac:dyDescent="0.4">
      <c r="A44" s="1" t="s">
        <v>118</v>
      </c>
      <c r="B44" s="2">
        <v>45313</v>
      </c>
      <c r="C44" s="2">
        <v>45322</v>
      </c>
      <c r="D44" s="2" t="str">
        <f t="shared" si="3"/>
        <v>2024</v>
      </c>
      <c r="E44" s="2" t="str">
        <f t="shared" si="0"/>
        <v>January</v>
      </c>
      <c r="F44" s="2" t="str">
        <f t="shared" si="4"/>
        <v>Q1</v>
      </c>
      <c r="G44" s="13">
        <f t="shared" si="1"/>
        <v>9</v>
      </c>
      <c r="H44" s="12" t="s">
        <v>42</v>
      </c>
      <c r="I44" s="1" t="s">
        <v>18</v>
      </c>
      <c r="J44" s="1" t="s">
        <v>19</v>
      </c>
      <c r="K44" s="1" t="s">
        <v>35</v>
      </c>
      <c r="L44" s="1" t="s">
        <v>119</v>
      </c>
      <c r="M44" s="10">
        <v>309.52999999999997</v>
      </c>
      <c r="N44" s="8">
        <v>10</v>
      </c>
      <c r="O44" s="6">
        <v>0.33</v>
      </c>
      <c r="P44" s="10">
        <v>188.23</v>
      </c>
      <c r="Q44" s="11">
        <f t="shared" si="2"/>
        <v>121.29999999999998</v>
      </c>
      <c r="R44" t="str">
        <f t="shared" si="5"/>
        <v>profit</v>
      </c>
    </row>
    <row r="45" spans="1:18" ht="15.75" customHeight="1" x14ac:dyDescent="0.4">
      <c r="A45" s="1" t="s">
        <v>120</v>
      </c>
      <c r="B45" s="2">
        <v>45186</v>
      </c>
      <c r="C45" s="2">
        <v>45195</v>
      </c>
      <c r="D45" s="2" t="str">
        <f t="shared" si="3"/>
        <v>2023</v>
      </c>
      <c r="E45" s="2" t="str">
        <f t="shared" si="0"/>
        <v>September</v>
      </c>
      <c r="F45" s="2" t="str">
        <f t="shared" si="4"/>
        <v>Q4</v>
      </c>
      <c r="G45" s="13">
        <f t="shared" si="1"/>
        <v>9</v>
      </c>
      <c r="H45" s="12" t="s">
        <v>1987</v>
      </c>
      <c r="I45" s="1" t="s">
        <v>18</v>
      </c>
      <c r="J45" s="1" t="s">
        <v>19</v>
      </c>
      <c r="K45" s="1" t="s">
        <v>35</v>
      </c>
      <c r="L45" s="1" t="s">
        <v>121</v>
      </c>
      <c r="M45" s="10">
        <v>240.51</v>
      </c>
      <c r="N45" s="8">
        <v>3</v>
      </c>
      <c r="O45" s="6">
        <v>0.27</v>
      </c>
      <c r="P45" s="10">
        <v>146.44999999999999</v>
      </c>
      <c r="Q45" s="11">
        <f t="shared" si="2"/>
        <v>94.06</v>
      </c>
      <c r="R45" t="str">
        <f t="shared" si="5"/>
        <v>profit</v>
      </c>
    </row>
    <row r="46" spans="1:18" ht="15.75" customHeight="1" x14ac:dyDescent="0.4">
      <c r="A46" s="1" t="s">
        <v>122</v>
      </c>
      <c r="B46" s="2">
        <v>45060</v>
      </c>
      <c r="C46" s="2">
        <v>45065</v>
      </c>
      <c r="D46" s="2" t="str">
        <f t="shared" si="3"/>
        <v>2023</v>
      </c>
      <c r="E46" s="2" t="str">
        <f t="shared" si="0"/>
        <v>May</v>
      </c>
      <c r="F46" s="2" t="str">
        <f t="shared" si="4"/>
        <v>Q2</v>
      </c>
      <c r="G46" s="13">
        <f t="shared" si="1"/>
        <v>5</v>
      </c>
      <c r="H46" s="12" t="s">
        <v>42</v>
      </c>
      <c r="I46" s="1" t="s">
        <v>50</v>
      </c>
      <c r="J46" s="1" t="s">
        <v>19</v>
      </c>
      <c r="K46" s="1" t="s">
        <v>20</v>
      </c>
      <c r="L46" s="1" t="s">
        <v>123</v>
      </c>
      <c r="M46" s="10">
        <v>736.79</v>
      </c>
      <c r="N46" s="8">
        <v>1</v>
      </c>
      <c r="O46" s="6">
        <v>0.49</v>
      </c>
      <c r="P46" s="10">
        <v>331.03</v>
      </c>
      <c r="Q46" s="11">
        <f t="shared" si="2"/>
        <v>405.76</v>
      </c>
      <c r="R46" t="str">
        <f t="shared" si="5"/>
        <v>profit</v>
      </c>
    </row>
    <row r="47" spans="1:18" ht="15.75" customHeight="1" x14ac:dyDescent="0.4">
      <c r="A47" s="1" t="s">
        <v>124</v>
      </c>
      <c r="B47" s="2">
        <v>45024</v>
      </c>
      <c r="C47" s="2">
        <v>45027</v>
      </c>
      <c r="D47" s="2" t="str">
        <f t="shared" si="3"/>
        <v>2023</v>
      </c>
      <c r="E47" s="2" t="str">
        <f t="shared" si="0"/>
        <v>April</v>
      </c>
      <c r="F47" s="2" t="str">
        <f t="shared" si="4"/>
        <v>Q2</v>
      </c>
      <c r="G47" s="13">
        <f t="shared" si="1"/>
        <v>3</v>
      </c>
      <c r="H47" s="12" t="s">
        <v>42</v>
      </c>
      <c r="I47" s="1" t="s">
        <v>59</v>
      </c>
      <c r="J47" s="1" t="s">
        <v>19</v>
      </c>
      <c r="K47" s="1" t="s">
        <v>92</v>
      </c>
      <c r="L47" s="1" t="s">
        <v>125</v>
      </c>
      <c r="M47" s="10">
        <v>88.79</v>
      </c>
      <c r="N47" s="8">
        <v>1</v>
      </c>
      <c r="O47" s="6">
        <v>0.25</v>
      </c>
      <c r="P47" s="10">
        <v>24.5</v>
      </c>
      <c r="Q47" s="11">
        <f t="shared" si="2"/>
        <v>64.290000000000006</v>
      </c>
      <c r="R47" t="str">
        <f t="shared" si="5"/>
        <v>profit</v>
      </c>
    </row>
    <row r="48" spans="1:18" ht="15.75" customHeight="1" x14ac:dyDescent="0.4">
      <c r="A48" s="1" t="s">
        <v>126</v>
      </c>
      <c r="B48" s="2">
        <v>45263</v>
      </c>
      <c r="C48" s="2">
        <v>45269</v>
      </c>
      <c r="D48" s="2" t="str">
        <f t="shared" si="3"/>
        <v>2023</v>
      </c>
      <c r="E48" s="2" t="str">
        <f t="shared" si="0"/>
        <v>December</v>
      </c>
      <c r="F48" s="2" t="str">
        <f t="shared" si="4"/>
        <v>Q4</v>
      </c>
      <c r="G48" s="13">
        <f t="shared" si="1"/>
        <v>6</v>
      </c>
      <c r="H48" s="12" t="s">
        <v>1986</v>
      </c>
      <c r="I48" s="1" t="s">
        <v>24</v>
      </c>
      <c r="J48" s="1" t="s">
        <v>19</v>
      </c>
      <c r="K48" s="1" t="s">
        <v>35</v>
      </c>
      <c r="L48" s="1" t="s">
        <v>127</v>
      </c>
      <c r="M48" s="10">
        <v>160.83000000000001</v>
      </c>
      <c r="N48" s="8">
        <v>8</v>
      </c>
      <c r="O48" s="6">
        <v>0.16</v>
      </c>
      <c r="P48" s="10">
        <v>99.2</v>
      </c>
      <c r="Q48" s="11">
        <f t="shared" si="2"/>
        <v>61.63000000000001</v>
      </c>
      <c r="R48" t="str">
        <f t="shared" si="5"/>
        <v>profit</v>
      </c>
    </row>
    <row r="49" spans="1:18" ht="15.75" customHeight="1" x14ac:dyDescent="0.4">
      <c r="A49" s="1" t="s">
        <v>128</v>
      </c>
      <c r="B49" s="2">
        <v>45171</v>
      </c>
      <c r="C49" s="2">
        <v>45174</v>
      </c>
      <c r="D49" s="2" t="str">
        <f t="shared" si="3"/>
        <v>2023</v>
      </c>
      <c r="E49" s="2" t="str">
        <f t="shared" si="0"/>
        <v>September</v>
      </c>
      <c r="F49" s="2" t="str">
        <f t="shared" si="4"/>
        <v>Q4</v>
      </c>
      <c r="G49" s="13">
        <f t="shared" si="1"/>
        <v>3</v>
      </c>
      <c r="H49" s="12" t="s">
        <v>1986</v>
      </c>
      <c r="I49" s="1" t="s">
        <v>46</v>
      </c>
      <c r="J49" s="1" t="s">
        <v>25</v>
      </c>
      <c r="K49" s="1" t="s">
        <v>47</v>
      </c>
      <c r="L49" s="1" t="s">
        <v>129</v>
      </c>
      <c r="M49" s="10">
        <v>881.62</v>
      </c>
      <c r="N49" s="8">
        <v>3</v>
      </c>
      <c r="O49" s="6">
        <v>0.34</v>
      </c>
      <c r="P49" s="10">
        <v>565.16999999999996</v>
      </c>
      <c r="Q49" s="11">
        <f t="shared" si="2"/>
        <v>316.45000000000005</v>
      </c>
      <c r="R49" t="str">
        <f t="shared" si="5"/>
        <v>profit</v>
      </c>
    </row>
    <row r="50" spans="1:18" ht="15.75" customHeight="1" x14ac:dyDescent="0.4">
      <c r="A50" s="1" t="s">
        <v>130</v>
      </c>
      <c r="B50" s="2">
        <v>45108</v>
      </c>
      <c r="C50" s="2">
        <v>45115</v>
      </c>
      <c r="D50" s="2" t="str">
        <f t="shared" si="3"/>
        <v>2023</v>
      </c>
      <c r="E50" s="2" t="str">
        <f t="shared" si="0"/>
        <v>July</v>
      </c>
      <c r="F50" s="2" t="str">
        <f t="shared" si="4"/>
        <v>Q3</v>
      </c>
      <c r="G50" s="13">
        <f t="shared" si="1"/>
        <v>7</v>
      </c>
      <c r="H50" s="12" t="s">
        <v>1987</v>
      </c>
      <c r="I50" s="1" t="s">
        <v>24</v>
      </c>
      <c r="J50" s="1" t="s">
        <v>19</v>
      </c>
      <c r="K50" s="1" t="s">
        <v>35</v>
      </c>
      <c r="L50" s="1" t="s">
        <v>131</v>
      </c>
      <c r="M50" s="10">
        <v>699.72</v>
      </c>
      <c r="N50" s="8">
        <v>9</v>
      </c>
      <c r="O50" s="6">
        <v>0.28999999999999998</v>
      </c>
      <c r="P50" s="10">
        <v>480.78</v>
      </c>
      <c r="Q50" s="11">
        <f t="shared" si="2"/>
        <v>218.94000000000005</v>
      </c>
      <c r="R50" t="str">
        <f t="shared" si="5"/>
        <v>profit</v>
      </c>
    </row>
    <row r="51" spans="1:18" ht="15.75" customHeight="1" x14ac:dyDescent="0.4">
      <c r="A51" s="1" t="s">
        <v>132</v>
      </c>
      <c r="B51" s="2">
        <v>45278</v>
      </c>
      <c r="C51" s="2">
        <v>45284</v>
      </c>
      <c r="D51" s="2" t="str">
        <f t="shared" si="3"/>
        <v>2023</v>
      </c>
      <c r="E51" s="2" t="str">
        <f t="shared" si="0"/>
        <v>December</v>
      </c>
      <c r="F51" s="2" t="str">
        <f t="shared" si="4"/>
        <v>Q4</v>
      </c>
      <c r="G51" s="13">
        <f t="shared" si="1"/>
        <v>6</v>
      </c>
      <c r="H51" s="12" t="s">
        <v>1987</v>
      </c>
      <c r="I51" s="1" t="s">
        <v>46</v>
      </c>
      <c r="J51" s="1" t="s">
        <v>19</v>
      </c>
      <c r="K51" s="1" t="s">
        <v>20</v>
      </c>
      <c r="L51" s="1" t="s">
        <v>133</v>
      </c>
      <c r="M51" s="10">
        <v>619.5</v>
      </c>
      <c r="N51" s="8">
        <v>10</v>
      </c>
      <c r="O51" s="6">
        <v>0.47</v>
      </c>
      <c r="P51" s="10">
        <v>288.98</v>
      </c>
      <c r="Q51" s="11">
        <f t="shared" si="2"/>
        <v>330.52</v>
      </c>
      <c r="R51" t="str">
        <f t="shared" si="5"/>
        <v>profit</v>
      </c>
    </row>
    <row r="52" spans="1:18" ht="15.75" customHeight="1" x14ac:dyDescent="0.4">
      <c r="A52" s="1" t="s">
        <v>134</v>
      </c>
      <c r="B52" s="2">
        <v>45492</v>
      </c>
      <c r="C52" s="2">
        <v>45497</v>
      </c>
      <c r="D52" s="2" t="str">
        <f t="shared" si="3"/>
        <v>2024</v>
      </c>
      <c r="E52" s="2" t="str">
        <f t="shared" si="0"/>
        <v>July</v>
      </c>
      <c r="F52" s="2" t="str">
        <f t="shared" si="4"/>
        <v>Q3</v>
      </c>
      <c r="G52" s="13">
        <f t="shared" si="1"/>
        <v>5</v>
      </c>
      <c r="H52" s="12" t="s">
        <v>1987</v>
      </c>
      <c r="I52" s="1" t="s">
        <v>50</v>
      </c>
      <c r="J52" s="1" t="s">
        <v>19</v>
      </c>
      <c r="K52" s="1" t="s">
        <v>35</v>
      </c>
      <c r="L52" s="1" t="s">
        <v>135</v>
      </c>
      <c r="M52" s="10">
        <v>580.59</v>
      </c>
      <c r="N52" s="8">
        <v>6</v>
      </c>
      <c r="O52" s="6">
        <v>0.5</v>
      </c>
      <c r="P52" s="10">
        <v>264.63</v>
      </c>
      <c r="Q52" s="11">
        <f t="shared" si="2"/>
        <v>315.96000000000004</v>
      </c>
      <c r="R52" t="str">
        <f t="shared" si="5"/>
        <v>profit</v>
      </c>
    </row>
    <row r="53" spans="1:18" ht="15.75" customHeight="1" x14ac:dyDescent="0.4">
      <c r="A53" s="1" t="s">
        <v>136</v>
      </c>
      <c r="B53" s="2">
        <v>44951</v>
      </c>
      <c r="C53" s="2">
        <v>44959</v>
      </c>
      <c r="D53" s="2" t="str">
        <f t="shared" si="3"/>
        <v>2023</v>
      </c>
      <c r="E53" s="2" t="str">
        <f t="shared" si="0"/>
        <v>February</v>
      </c>
      <c r="F53" s="2" t="str">
        <f t="shared" si="4"/>
        <v>Q1</v>
      </c>
      <c r="G53" s="13">
        <f t="shared" si="1"/>
        <v>8</v>
      </c>
      <c r="H53" s="12" t="s">
        <v>1986</v>
      </c>
      <c r="I53" s="1" t="s">
        <v>29</v>
      </c>
      <c r="J53" s="1" t="s">
        <v>19</v>
      </c>
      <c r="K53" s="1" t="s">
        <v>35</v>
      </c>
      <c r="L53" s="1" t="s">
        <v>137</v>
      </c>
      <c r="M53" s="10">
        <v>371</v>
      </c>
      <c r="N53" s="8">
        <v>8</v>
      </c>
      <c r="O53" s="6">
        <v>0.1</v>
      </c>
      <c r="P53" s="10">
        <v>309.49</v>
      </c>
      <c r="Q53" s="11">
        <f t="shared" si="2"/>
        <v>61.509999999999991</v>
      </c>
      <c r="R53" t="str">
        <f t="shared" si="5"/>
        <v>profit</v>
      </c>
    </row>
    <row r="54" spans="1:18" ht="15.75" customHeight="1" x14ac:dyDescent="0.4">
      <c r="A54" s="1" t="s">
        <v>138</v>
      </c>
      <c r="B54" s="2">
        <v>44951</v>
      </c>
      <c r="C54" s="2">
        <v>44954</v>
      </c>
      <c r="D54" s="2" t="str">
        <f t="shared" si="3"/>
        <v>2023</v>
      </c>
      <c r="E54" s="2" t="str">
        <f t="shared" si="0"/>
        <v>January</v>
      </c>
      <c r="F54" s="2" t="str">
        <f t="shared" si="4"/>
        <v>Q1</v>
      </c>
      <c r="G54" s="13">
        <f t="shared" si="1"/>
        <v>3</v>
      </c>
      <c r="H54" s="12" t="s">
        <v>1986</v>
      </c>
      <c r="I54" s="1" t="s">
        <v>53</v>
      </c>
      <c r="J54" s="1" t="s">
        <v>14</v>
      </c>
      <c r="K54" s="1" t="s">
        <v>15</v>
      </c>
      <c r="L54" s="1" t="s">
        <v>139</v>
      </c>
      <c r="M54" s="10">
        <v>563.29</v>
      </c>
      <c r="N54" s="8">
        <v>6</v>
      </c>
      <c r="O54" s="6">
        <v>0.01</v>
      </c>
      <c r="P54" s="10">
        <v>541.71</v>
      </c>
      <c r="Q54" s="11">
        <f t="shared" si="2"/>
        <v>21.579999999999927</v>
      </c>
      <c r="R54" t="str">
        <f t="shared" si="5"/>
        <v>profit</v>
      </c>
    </row>
    <row r="55" spans="1:18" ht="15.75" customHeight="1" x14ac:dyDescent="0.4">
      <c r="A55" s="1" t="s">
        <v>140</v>
      </c>
      <c r="B55" s="2">
        <v>45609</v>
      </c>
      <c r="C55" s="2">
        <v>45615</v>
      </c>
      <c r="D55" s="2" t="str">
        <f t="shared" si="3"/>
        <v>2024</v>
      </c>
      <c r="E55" s="2" t="str">
        <f t="shared" si="0"/>
        <v>November</v>
      </c>
      <c r="F55" s="2" t="str">
        <f t="shared" si="4"/>
        <v>Q4</v>
      </c>
      <c r="G55" s="13">
        <f t="shared" si="1"/>
        <v>6</v>
      </c>
      <c r="H55" s="12" t="s">
        <v>23</v>
      </c>
      <c r="I55" s="1" t="s">
        <v>18</v>
      </c>
      <c r="J55" s="1" t="s">
        <v>25</v>
      </c>
      <c r="K55" s="1" t="s">
        <v>43</v>
      </c>
      <c r="L55" s="1" t="s">
        <v>141</v>
      </c>
      <c r="M55" s="10">
        <v>262.32</v>
      </c>
      <c r="N55" s="8">
        <v>10</v>
      </c>
      <c r="O55" s="6">
        <v>0.32</v>
      </c>
      <c r="P55" s="10">
        <v>138.01</v>
      </c>
      <c r="Q55" s="11">
        <f t="shared" si="2"/>
        <v>124.31</v>
      </c>
      <c r="R55" t="str">
        <f t="shared" si="5"/>
        <v>profit</v>
      </c>
    </row>
    <row r="56" spans="1:18" ht="15.75" customHeight="1" x14ac:dyDescent="0.4">
      <c r="A56" s="1" t="s">
        <v>142</v>
      </c>
      <c r="B56" s="2">
        <v>45287</v>
      </c>
      <c r="C56" s="2">
        <v>45295</v>
      </c>
      <c r="D56" s="2" t="str">
        <f t="shared" si="3"/>
        <v>2023</v>
      </c>
      <c r="E56" s="2" t="str">
        <f t="shared" si="0"/>
        <v>January</v>
      </c>
      <c r="F56" s="2" t="str">
        <f t="shared" si="4"/>
        <v>Q1</v>
      </c>
      <c r="G56" s="13">
        <f t="shared" si="1"/>
        <v>8</v>
      </c>
      <c r="H56" s="12" t="s">
        <v>1987</v>
      </c>
      <c r="I56" s="1" t="s">
        <v>46</v>
      </c>
      <c r="J56" s="1" t="s">
        <v>25</v>
      </c>
      <c r="K56" s="1" t="s">
        <v>43</v>
      </c>
      <c r="L56" s="1" t="s">
        <v>143</v>
      </c>
      <c r="M56" s="10">
        <v>841.4</v>
      </c>
      <c r="N56" s="8">
        <v>8</v>
      </c>
      <c r="O56" s="6">
        <v>0.19</v>
      </c>
      <c r="P56" s="10">
        <v>651.48</v>
      </c>
      <c r="Q56" s="11">
        <f t="shared" si="2"/>
        <v>189.91999999999996</v>
      </c>
      <c r="R56" t="str">
        <f t="shared" si="5"/>
        <v>profit</v>
      </c>
    </row>
    <row r="57" spans="1:18" ht="15.75" customHeight="1" x14ac:dyDescent="0.4">
      <c r="A57" s="1" t="s">
        <v>144</v>
      </c>
      <c r="B57" s="2">
        <v>45245</v>
      </c>
      <c r="C57" s="2">
        <v>45251</v>
      </c>
      <c r="D57" s="2" t="str">
        <f t="shared" si="3"/>
        <v>2023</v>
      </c>
      <c r="E57" s="2" t="str">
        <f t="shared" si="0"/>
        <v>November</v>
      </c>
      <c r="F57" s="2" t="str">
        <f t="shared" si="4"/>
        <v>Q4</v>
      </c>
      <c r="G57" s="13">
        <f t="shared" si="1"/>
        <v>6</v>
      </c>
      <c r="H57" s="12" t="s">
        <v>42</v>
      </c>
      <c r="I57" s="1" t="s">
        <v>13</v>
      </c>
      <c r="J57" s="1" t="s">
        <v>25</v>
      </c>
      <c r="K57" s="1" t="s">
        <v>47</v>
      </c>
      <c r="L57" s="1" t="s">
        <v>145</v>
      </c>
      <c r="M57" s="10">
        <v>643.22</v>
      </c>
      <c r="N57" s="8">
        <v>5</v>
      </c>
      <c r="O57" s="6">
        <v>0.37</v>
      </c>
      <c r="P57" s="10">
        <v>359.69</v>
      </c>
      <c r="Q57" s="11">
        <f t="shared" si="2"/>
        <v>283.53000000000003</v>
      </c>
      <c r="R57" t="str">
        <f t="shared" si="5"/>
        <v>profit</v>
      </c>
    </row>
    <row r="58" spans="1:18" ht="15.75" customHeight="1" x14ac:dyDescent="0.4">
      <c r="A58" s="1" t="s">
        <v>146</v>
      </c>
      <c r="B58" s="2">
        <v>45508</v>
      </c>
      <c r="C58" s="2">
        <v>45509</v>
      </c>
      <c r="D58" s="2" t="str">
        <f t="shared" si="3"/>
        <v>2024</v>
      </c>
      <c r="E58" s="2" t="str">
        <f t="shared" si="0"/>
        <v>August</v>
      </c>
      <c r="F58" s="2" t="str">
        <f t="shared" si="4"/>
        <v>Q3</v>
      </c>
      <c r="G58" s="13">
        <f t="shared" si="1"/>
        <v>1</v>
      </c>
      <c r="H58" s="12" t="s">
        <v>1987</v>
      </c>
      <c r="I58" s="1" t="s">
        <v>46</v>
      </c>
      <c r="J58" s="1" t="s">
        <v>14</v>
      </c>
      <c r="K58" s="1" t="s">
        <v>30</v>
      </c>
      <c r="L58" s="1" t="s">
        <v>147</v>
      </c>
      <c r="M58" s="10">
        <v>945.08</v>
      </c>
      <c r="N58" s="8">
        <v>5</v>
      </c>
      <c r="O58" s="6">
        <v>0.26</v>
      </c>
      <c r="P58" s="10">
        <v>658.21</v>
      </c>
      <c r="Q58" s="11">
        <f t="shared" si="2"/>
        <v>286.87</v>
      </c>
      <c r="R58" t="str">
        <f t="shared" si="5"/>
        <v>profit</v>
      </c>
    </row>
    <row r="59" spans="1:18" ht="15.75" customHeight="1" x14ac:dyDescent="0.4">
      <c r="A59" s="1" t="s">
        <v>148</v>
      </c>
      <c r="B59" s="2">
        <v>45605</v>
      </c>
      <c r="C59" s="2">
        <v>45613</v>
      </c>
      <c r="D59" s="2" t="str">
        <f t="shared" si="3"/>
        <v>2024</v>
      </c>
      <c r="E59" s="2" t="str">
        <f t="shared" si="0"/>
        <v>November</v>
      </c>
      <c r="F59" s="2" t="str">
        <f t="shared" si="4"/>
        <v>Q4</v>
      </c>
      <c r="G59" s="13">
        <f t="shared" si="1"/>
        <v>8</v>
      </c>
      <c r="H59" s="12" t="s">
        <v>42</v>
      </c>
      <c r="I59" s="1" t="s">
        <v>50</v>
      </c>
      <c r="J59" s="1" t="s">
        <v>14</v>
      </c>
      <c r="K59" s="1" t="s">
        <v>15</v>
      </c>
      <c r="L59" s="1" t="s">
        <v>149</v>
      </c>
      <c r="M59" s="10">
        <v>366.31</v>
      </c>
      <c r="N59" s="8">
        <v>2</v>
      </c>
      <c r="O59" s="6">
        <v>0.46</v>
      </c>
      <c r="P59" s="10">
        <v>176.14</v>
      </c>
      <c r="Q59" s="11">
        <f t="shared" si="2"/>
        <v>190.17000000000002</v>
      </c>
      <c r="R59" t="str">
        <f t="shared" si="5"/>
        <v>profit</v>
      </c>
    </row>
    <row r="60" spans="1:18" ht="15.75" customHeight="1" x14ac:dyDescent="0.4">
      <c r="A60" s="1" t="s">
        <v>150</v>
      </c>
      <c r="B60" s="2">
        <v>45374</v>
      </c>
      <c r="C60" s="2">
        <v>45378</v>
      </c>
      <c r="D60" s="2" t="str">
        <f t="shared" si="3"/>
        <v>2024</v>
      </c>
      <c r="E60" s="2" t="str">
        <f t="shared" si="0"/>
        <v>March</v>
      </c>
      <c r="F60" s="2" t="str">
        <f t="shared" si="4"/>
        <v>Q2</v>
      </c>
      <c r="G60" s="13">
        <f t="shared" si="1"/>
        <v>4</v>
      </c>
      <c r="H60" s="12" t="s">
        <v>42</v>
      </c>
      <c r="I60" s="1" t="s">
        <v>46</v>
      </c>
      <c r="J60" s="1" t="s">
        <v>25</v>
      </c>
      <c r="K60" s="1" t="s">
        <v>26</v>
      </c>
      <c r="L60" s="1" t="s">
        <v>151</v>
      </c>
      <c r="M60" s="10">
        <v>327.83</v>
      </c>
      <c r="N60" s="8">
        <v>6</v>
      </c>
      <c r="O60" s="6">
        <v>0.4</v>
      </c>
      <c r="P60" s="10">
        <v>173.31</v>
      </c>
      <c r="Q60" s="11">
        <f t="shared" si="2"/>
        <v>154.51999999999998</v>
      </c>
      <c r="R60" t="str">
        <f t="shared" si="5"/>
        <v>profit</v>
      </c>
    </row>
    <row r="61" spans="1:18" ht="15.75" customHeight="1" x14ac:dyDescent="0.4">
      <c r="A61" s="1" t="s">
        <v>152</v>
      </c>
      <c r="C61" s="2">
        <v>45009</v>
      </c>
      <c r="D61" s="2" t="str">
        <f t="shared" si="3"/>
        <v/>
      </c>
      <c r="E61" s="2" t="str">
        <f t="shared" si="0"/>
        <v>March</v>
      </c>
      <c r="F61" s="2" t="str">
        <f t="shared" si="4"/>
        <v>Q2</v>
      </c>
      <c r="G61" s="13">
        <f t="shared" si="1"/>
        <v>45009</v>
      </c>
      <c r="H61" s="12" t="s">
        <v>1988</v>
      </c>
      <c r="I61" s="1" t="s">
        <v>53</v>
      </c>
      <c r="J61" s="1" t="s">
        <v>19</v>
      </c>
      <c r="K61" s="1" t="s">
        <v>92</v>
      </c>
      <c r="L61" s="1" t="s">
        <v>153</v>
      </c>
      <c r="M61" s="11" t="s">
        <v>1989</v>
      </c>
      <c r="N61" s="8">
        <v>4</v>
      </c>
      <c r="O61" s="6">
        <v>0.1</v>
      </c>
      <c r="P61" s="10">
        <v>512.84</v>
      </c>
      <c r="Q61" s="11" t="e">
        <f t="shared" si="2"/>
        <v>#VALUE!</v>
      </c>
      <c r="R61" t="str">
        <f t="shared" si="5"/>
        <v>profit</v>
      </c>
    </row>
    <row r="62" spans="1:18" ht="15.75" customHeight="1" x14ac:dyDescent="0.4">
      <c r="A62" s="1" t="s">
        <v>154</v>
      </c>
      <c r="B62" s="2">
        <v>45169</v>
      </c>
      <c r="C62" s="2">
        <v>45170</v>
      </c>
      <c r="D62" s="2" t="str">
        <f t="shared" si="3"/>
        <v>2023</v>
      </c>
      <c r="E62" s="2" t="str">
        <f t="shared" si="0"/>
        <v>September</v>
      </c>
      <c r="F62" s="2" t="str">
        <f t="shared" si="4"/>
        <v>Q4</v>
      </c>
      <c r="G62" s="13">
        <f t="shared" si="1"/>
        <v>1</v>
      </c>
      <c r="H62" s="12" t="s">
        <v>1987</v>
      </c>
      <c r="I62" s="1" t="s">
        <v>13</v>
      </c>
      <c r="J62" s="1" t="s">
        <v>25</v>
      </c>
      <c r="K62" s="1" t="s">
        <v>43</v>
      </c>
      <c r="L62" s="1" t="s">
        <v>155</v>
      </c>
      <c r="M62" s="10">
        <v>791.06</v>
      </c>
      <c r="N62" s="8">
        <v>5</v>
      </c>
      <c r="O62" s="6">
        <v>0.28999999999999998</v>
      </c>
      <c r="P62" s="10">
        <v>517.86</v>
      </c>
      <c r="Q62" s="11">
        <f t="shared" si="2"/>
        <v>273.19999999999993</v>
      </c>
      <c r="R62" t="str">
        <f t="shared" si="5"/>
        <v>profit</v>
      </c>
    </row>
    <row r="63" spans="1:18" ht="15.75" customHeight="1" x14ac:dyDescent="0.4">
      <c r="A63" s="1" t="s">
        <v>156</v>
      </c>
      <c r="B63" s="2">
        <v>45085</v>
      </c>
      <c r="C63" s="2">
        <v>45088</v>
      </c>
      <c r="D63" s="2" t="str">
        <f t="shared" si="3"/>
        <v>2023</v>
      </c>
      <c r="E63" s="2" t="str">
        <f t="shared" si="0"/>
        <v>June</v>
      </c>
      <c r="F63" s="2" t="str">
        <f t="shared" si="4"/>
        <v>Q3</v>
      </c>
      <c r="G63" s="13">
        <f t="shared" si="1"/>
        <v>3</v>
      </c>
      <c r="H63" s="12" t="s">
        <v>23</v>
      </c>
      <c r="I63" s="1" t="s">
        <v>50</v>
      </c>
      <c r="J63" s="1" t="s">
        <v>14</v>
      </c>
      <c r="K63" s="1" t="s">
        <v>54</v>
      </c>
      <c r="L63" s="1" t="s">
        <v>157</v>
      </c>
      <c r="M63" s="10">
        <v>706.68</v>
      </c>
      <c r="N63" s="8">
        <v>4</v>
      </c>
      <c r="O63" s="6">
        <v>0.36</v>
      </c>
      <c r="P63" s="10">
        <v>420.7</v>
      </c>
      <c r="Q63" s="11">
        <f t="shared" si="2"/>
        <v>285.97999999999996</v>
      </c>
      <c r="R63" t="str">
        <f t="shared" si="5"/>
        <v>profit</v>
      </c>
    </row>
    <row r="64" spans="1:18" ht="15.75" customHeight="1" x14ac:dyDescent="0.4">
      <c r="A64" s="1" t="s">
        <v>158</v>
      </c>
      <c r="B64" s="2">
        <v>45198</v>
      </c>
      <c r="C64" s="2">
        <v>45203</v>
      </c>
      <c r="D64" s="2" t="str">
        <f t="shared" si="3"/>
        <v>2023</v>
      </c>
      <c r="E64" s="2" t="str">
        <f t="shared" si="0"/>
        <v>October</v>
      </c>
      <c r="F64" s="2" t="str">
        <f t="shared" si="4"/>
        <v>Q4</v>
      </c>
      <c r="G64" s="13">
        <f t="shared" si="1"/>
        <v>5</v>
      </c>
      <c r="H64" s="12" t="s">
        <v>23</v>
      </c>
      <c r="I64" s="1" t="s">
        <v>46</v>
      </c>
      <c r="J64" s="1" t="s">
        <v>14</v>
      </c>
      <c r="K64" s="1" t="s">
        <v>54</v>
      </c>
      <c r="L64" s="1" t="s">
        <v>159</v>
      </c>
      <c r="M64" s="10">
        <v>166.28</v>
      </c>
      <c r="N64" s="8">
        <v>10</v>
      </c>
      <c r="O64" s="6">
        <v>0.28000000000000003</v>
      </c>
      <c r="P64" s="10">
        <v>82.08</v>
      </c>
      <c r="Q64" s="11">
        <f t="shared" si="2"/>
        <v>84.2</v>
      </c>
      <c r="R64" t="str">
        <f t="shared" si="5"/>
        <v>profit</v>
      </c>
    </row>
    <row r="65" spans="1:18" ht="15.75" customHeight="1" x14ac:dyDescent="0.4">
      <c r="A65" s="1" t="s">
        <v>160</v>
      </c>
      <c r="B65" s="2">
        <v>45618</v>
      </c>
      <c r="C65" s="2">
        <v>45625</v>
      </c>
      <c r="D65" s="2" t="str">
        <f t="shared" si="3"/>
        <v>2024</v>
      </c>
      <c r="E65" s="2" t="str">
        <f t="shared" si="0"/>
        <v>November</v>
      </c>
      <c r="F65" s="2" t="str">
        <f t="shared" si="4"/>
        <v>Q4</v>
      </c>
      <c r="G65" s="13">
        <f t="shared" si="1"/>
        <v>7</v>
      </c>
      <c r="H65" s="12" t="s">
        <v>1987</v>
      </c>
      <c r="I65" s="1" t="s">
        <v>59</v>
      </c>
      <c r="J65" s="1" t="s">
        <v>19</v>
      </c>
      <c r="K65" s="1" t="s">
        <v>35</v>
      </c>
      <c r="L65" s="1" t="s">
        <v>161</v>
      </c>
      <c r="M65" s="10">
        <v>251.05</v>
      </c>
      <c r="N65" s="8">
        <v>6</v>
      </c>
      <c r="O65" s="6">
        <v>0.36</v>
      </c>
      <c r="P65" s="10">
        <v>147.66</v>
      </c>
      <c r="Q65" s="11">
        <f t="shared" si="2"/>
        <v>103.39000000000001</v>
      </c>
      <c r="R65" t="str">
        <f t="shared" si="5"/>
        <v>profit</v>
      </c>
    </row>
    <row r="66" spans="1:18" ht="15.75" customHeight="1" x14ac:dyDescent="0.4">
      <c r="A66" s="1" t="s">
        <v>162</v>
      </c>
      <c r="B66" s="2">
        <v>44938</v>
      </c>
      <c r="C66" s="2">
        <v>44945</v>
      </c>
      <c r="D66" s="2" t="str">
        <f t="shared" si="3"/>
        <v>2023</v>
      </c>
      <c r="E66" s="2" t="str">
        <f t="shared" ref="E66:E129" si="6">TEXT(C66, "MMMM")</f>
        <v>January</v>
      </c>
      <c r="F66" s="2" t="str">
        <f t="shared" si="4"/>
        <v>Q1</v>
      </c>
      <c r="G66" s="13">
        <f t="shared" ref="G66:G129" si="7">DATEDIF(B66,C66, "D")</f>
        <v>7</v>
      </c>
      <c r="H66" s="12" t="s">
        <v>23</v>
      </c>
      <c r="I66" s="1" t="s">
        <v>13</v>
      </c>
      <c r="J66" s="1" t="s">
        <v>14</v>
      </c>
      <c r="K66" s="1" t="s">
        <v>30</v>
      </c>
      <c r="L66" s="1" t="s">
        <v>163</v>
      </c>
      <c r="M66" s="10">
        <v>38.56</v>
      </c>
      <c r="N66" s="8">
        <v>10</v>
      </c>
      <c r="O66" s="6">
        <v>0.42</v>
      </c>
      <c r="P66" s="10">
        <v>-22.32</v>
      </c>
      <c r="Q66" s="11">
        <f t="shared" ref="Q66:Q129" si="8">M66 - P66</f>
        <v>60.88</v>
      </c>
      <c r="R66" t="str">
        <f t="shared" si="5"/>
        <v>loss</v>
      </c>
    </row>
    <row r="67" spans="1:18" ht="15.75" customHeight="1" x14ac:dyDescent="0.4">
      <c r="A67" s="1" t="s">
        <v>164</v>
      </c>
      <c r="B67" s="2">
        <v>45132</v>
      </c>
      <c r="C67" s="2">
        <v>45140</v>
      </c>
      <c r="D67" s="2" t="str">
        <f t="shared" ref="D67:D130" si="9">IF(B67="","",TEXT(B67,"YYYY"))</f>
        <v>2023</v>
      </c>
      <c r="E67" s="2" t="str">
        <f t="shared" si="6"/>
        <v>August</v>
      </c>
      <c r="F67" s="2" t="str">
        <f t="shared" ref="F67:F130" si="10">IF(MONTH(C67)&lt;3,"Q1",IF(MONTH(C67)&lt;6,"Q2",IF(MONTH(C67)&lt;9,"Q3","Q4")))</f>
        <v>Q3</v>
      </c>
      <c r="G67" s="13">
        <f t="shared" si="7"/>
        <v>8</v>
      </c>
      <c r="H67" s="12" t="s">
        <v>42</v>
      </c>
      <c r="I67" s="1" t="s">
        <v>59</v>
      </c>
      <c r="J67" s="1" t="s">
        <v>25</v>
      </c>
      <c r="K67" s="1" t="s">
        <v>43</v>
      </c>
      <c r="L67" s="1" t="s">
        <v>165</v>
      </c>
      <c r="M67" s="10">
        <v>394.01</v>
      </c>
      <c r="N67" s="8">
        <v>8</v>
      </c>
      <c r="O67" s="6">
        <v>0.17</v>
      </c>
      <c r="P67" s="10">
        <v>309.70999999999998</v>
      </c>
      <c r="Q67" s="11">
        <f t="shared" si="8"/>
        <v>84.300000000000011</v>
      </c>
      <c r="R67" t="str">
        <f t="shared" si="5"/>
        <v>profit</v>
      </c>
    </row>
    <row r="68" spans="1:18" ht="15.75" customHeight="1" x14ac:dyDescent="0.4">
      <c r="A68" s="1" t="s">
        <v>166</v>
      </c>
      <c r="B68" s="2">
        <v>45600</v>
      </c>
      <c r="C68" s="2">
        <v>45603</v>
      </c>
      <c r="D68" s="2" t="str">
        <f t="shared" si="9"/>
        <v>2024</v>
      </c>
      <c r="E68" s="2" t="str">
        <f t="shared" si="6"/>
        <v>November</v>
      </c>
      <c r="F68" s="2" t="str">
        <f t="shared" si="10"/>
        <v>Q4</v>
      </c>
      <c r="G68" s="13">
        <f t="shared" si="7"/>
        <v>3</v>
      </c>
      <c r="H68" s="12" t="s">
        <v>23</v>
      </c>
      <c r="I68" s="1" t="s">
        <v>24</v>
      </c>
      <c r="J68" s="1" t="s">
        <v>19</v>
      </c>
      <c r="K68" s="1" t="s">
        <v>92</v>
      </c>
      <c r="L68" s="1" t="s">
        <v>167</v>
      </c>
      <c r="M68" s="10">
        <v>50</v>
      </c>
      <c r="N68" s="8">
        <v>8</v>
      </c>
      <c r="O68" s="6">
        <v>0.21</v>
      </c>
      <c r="P68" s="10">
        <v>426.74</v>
      </c>
      <c r="Q68" s="11">
        <f t="shared" si="8"/>
        <v>-376.74</v>
      </c>
      <c r="R68" t="str">
        <f t="shared" ref="R68:R131" si="11">IF(P68&gt;0,"profit","loss")</f>
        <v>profit</v>
      </c>
    </row>
    <row r="69" spans="1:18" ht="15.75" customHeight="1" x14ac:dyDescent="0.4">
      <c r="A69" s="1" t="s">
        <v>168</v>
      </c>
      <c r="B69" s="2">
        <v>44947</v>
      </c>
      <c r="C69" s="2">
        <v>44953</v>
      </c>
      <c r="D69" s="2" t="str">
        <f t="shared" si="9"/>
        <v>2023</v>
      </c>
      <c r="E69" s="2" t="str">
        <f t="shared" si="6"/>
        <v>January</v>
      </c>
      <c r="F69" s="2" t="str">
        <f t="shared" si="10"/>
        <v>Q1</v>
      </c>
      <c r="G69" s="13">
        <f t="shared" si="7"/>
        <v>6</v>
      </c>
      <c r="H69" s="12" t="s">
        <v>1986</v>
      </c>
      <c r="I69" s="1" t="s">
        <v>24</v>
      </c>
      <c r="J69" s="1" t="s">
        <v>19</v>
      </c>
      <c r="K69" s="1" t="s">
        <v>35</v>
      </c>
      <c r="L69" s="1" t="s">
        <v>169</v>
      </c>
      <c r="M69" s="10">
        <v>274.42</v>
      </c>
      <c r="N69" s="8">
        <v>2</v>
      </c>
      <c r="O69" s="6">
        <v>0.09</v>
      </c>
      <c r="P69" s="10">
        <v>215.45</v>
      </c>
      <c r="Q69" s="11">
        <f t="shared" si="8"/>
        <v>58.970000000000027</v>
      </c>
      <c r="R69" t="str">
        <f t="shared" si="11"/>
        <v>profit</v>
      </c>
    </row>
    <row r="70" spans="1:18" ht="15.75" customHeight="1" x14ac:dyDescent="0.4">
      <c r="A70" s="1" t="s">
        <v>170</v>
      </c>
      <c r="B70" s="2">
        <v>45386</v>
      </c>
      <c r="C70" s="2">
        <v>45387</v>
      </c>
      <c r="D70" s="2" t="str">
        <f t="shared" si="9"/>
        <v>2024</v>
      </c>
      <c r="E70" s="2" t="str">
        <f t="shared" si="6"/>
        <v>April</v>
      </c>
      <c r="F70" s="2" t="str">
        <f t="shared" si="10"/>
        <v>Q2</v>
      </c>
      <c r="G70" s="13">
        <f t="shared" si="7"/>
        <v>1</v>
      </c>
      <c r="H70" s="12" t="s">
        <v>1987</v>
      </c>
      <c r="I70" s="1" t="s">
        <v>13</v>
      </c>
      <c r="J70" s="1" t="s">
        <v>25</v>
      </c>
      <c r="K70" s="1" t="s">
        <v>26</v>
      </c>
      <c r="L70" s="1" t="s">
        <v>171</v>
      </c>
      <c r="M70" s="10">
        <v>583.97</v>
      </c>
      <c r="N70" s="8">
        <v>9</v>
      </c>
      <c r="O70" s="6">
        <v>0.36</v>
      </c>
      <c r="P70" s="10">
        <v>356.84</v>
      </c>
      <c r="Q70" s="11">
        <f t="shared" si="8"/>
        <v>227.13000000000005</v>
      </c>
      <c r="R70" t="str">
        <f t="shared" si="11"/>
        <v>profit</v>
      </c>
    </row>
    <row r="71" spans="1:18" ht="15.75" customHeight="1" x14ac:dyDescent="0.4">
      <c r="A71" s="1" t="s">
        <v>172</v>
      </c>
      <c r="B71" s="2">
        <v>45341</v>
      </c>
      <c r="C71" s="2">
        <v>45345</v>
      </c>
      <c r="D71" s="2" t="str">
        <f t="shared" si="9"/>
        <v>2024</v>
      </c>
      <c r="E71" s="2" t="str">
        <f t="shared" si="6"/>
        <v>February</v>
      </c>
      <c r="F71" s="2" t="str">
        <f t="shared" si="10"/>
        <v>Q1</v>
      </c>
      <c r="G71" s="13">
        <f t="shared" si="7"/>
        <v>4</v>
      </c>
      <c r="H71" s="12" t="s">
        <v>1986</v>
      </c>
      <c r="I71" s="1" t="s">
        <v>29</v>
      </c>
      <c r="J71" s="1" t="s">
        <v>14</v>
      </c>
      <c r="K71" s="1" t="s">
        <v>15</v>
      </c>
      <c r="L71" s="1" t="s">
        <v>173</v>
      </c>
      <c r="M71" s="10">
        <v>402.44</v>
      </c>
      <c r="N71" s="8">
        <v>10</v>
      </c>
      <c r="O71" s="6">
        <v>0.41</v>
      </c>
      <c r="P71" s="10">
        <v>220.9</v>
      </c>
      <c r="Q71" s="11">
        <f t="shared" si="8"/>
        <v>181.54</v>
      </c>
      <c r="R71" t="str">
        <f t="shared" si="11"/>
        <v>profit</v>
      </c>
    </row>
    <row r="72" spans="1:18" ht="15.75" customHeight="1" x14ac:dyDescent="0.4">
      <c r="A72" s="1" t="s">
        <v>174</v>
      </c>
      <c r="B72" s="2">
        <v>44929</v>
      </c>
      <c r="C72" s="2">
        <v>44930</v>
      </c>
      <c r="D72" s="2" t="str">
        <f t="shared" si="9"/>
        <v>2023</v>
      </c>
      <c r="E72" s="2" t="str">
        <f t="shared" si="6"/>
        <v>January</v>
      </c>
      <c r="F72" s="2" t="str">
        <f t="shared" si="10"/>
        <v>Q1</v>
      </c>
      <c r="G72" s="13">
        <f t="shared" si="7"/>
        <v>1</v>
      </c>
      <c r="H72" s="12" t="s">
        <v>42</v>
      </c>
      <c r="I72" s="1" t="s">
        <v>13</v>
      </c>
      <c r="J72" s="1" t="s">
        <v>25</v>
      </c>
      <c r="K72" s="1" t="s">
        <v>43</v>
      </c>
      <c r="L72" s="1" t="s">
        <v>175</v>
      </c>
      <c r="M72" s="10">
        <v>36.19</v>
      </c>
      <c r="N72" s="8">
        <v>8</v>
      </c>
      <c r="O72" s="6">
        <v>0.25</v>
      </c>
      <c r="P72" s="10">
        <v>-7.65</v>
      </c>
      <c r="Q72" s="11">
        <f t="shared" si="8"/>
        <v>43.839999999999996</v>
      </c>
      <c r="R72" t="str">
        <f t="shared" si="11"/>
        <v>loss</v>
      </c>
    </row>
    <row r="73" spans="1:18" ht="15.75" customHeight="1" x14ac:dyDescent="0.4">
      <c r="A73" s="1" t="s">
        <v>176</v>
      </c>
      <c r="B73" s="2">
        <v>45378</v>
      </c>
      <c r="C73" s="2">
        <v>45384</v>
      </c>
      <c r="D73" s="2" t="str">
        <f t="shared" si="9"/>
        <v>2024</v>
      </c>
      <c r="E73" s="2" t="str">
        <f t="shared" si="6"/>
        <v>April</v>
      </c>
      <c r="F73" s="2" t="str">
        <f t="shared" si="10"/>
        <v>Q2</v>
      </c>
      <c r="G73" s="13">
        <f t="shared" si="7"/>
        <v>6</v>
      </c>
      <c r="H73" s="12" t="s">
        <v>42</v>
      </c>
      <c r="I73" s="1" t="s">
        <v>18</v>
      </c>
      <c r="J73" s="1" t="s">
        <v>14</v>
      </c>
      <c r="K73" s="1" t="s">
        <v>30</v>
      </c>
      <c r="L73" s="1" t="s">
        <v>177</v>
      </c>
      <c r="M73" s="10">
        <v>912.55</v>
      </c>
      <c r="N73" s="8">
        <v>6</v>
      </c>
      <c r="O73" s="6">
        <v>0.12</v>
      </c>
      <c r="P73" s="10">
        <v>753.35</v>
      </c>
      <c r="Q73" s="11">
        <f t="shared" si="8"/>
        <v>159.19999999999993</v>
      </c>
      <c r="R73" t="str">
        <f t="shared" si="11"/>
        <v>profit</v>
      </c>
    </row>
    <row r="74" spans="1:18" ht="15.75" customHeight="1" x14ac:dyDescent="0.4">
      <c r="A74" s="1" t="s">
        <v>178</v>
      </c>
      <c r="B74" s="2">
        <v>45255</v>
      </c>
      <c r="C74" s="2">
        <v>45262</v>
      </c>
      <c r="D74" s="2" t="str">
        <f t="shared" si="9"/>
        <v>2023</v>
      </c>
      <c r="E74" s="2" t="str">
        <f t="shared" si="6"/>
        <v>December</v>
      </c>
      <c r="F74" s="2" t="str">
        <f t="shared" si="10"/>
        <v>Q4</v>
      </c>
      <c r="G74" s="13">
        <f t="shared" si="7"/>
        <v>7</v>
      </c>
      <c r="H74" s="12" t="s">
        <v>1986</v>
      </c>
      <c r="I74" s="1" t="s">
        <v>18</v>
      </c>
      <c r="J74" s="1" t="s">
        <v>14</v>
      </c>
      <c r="K74" s="1" t="s">
        <v>15</v>
      </c>
      <c r="L74" s="1" t="s">
        <v>179</v>
      </c>
      <c r="M74" s="10">
        <v>454.8</v>
      </c>
      <c r="N74" s="8">
        <v>5</v>
      </c>
      <c r="O74" s="6">
        <v>0.01</v>
      </c>
      <c r="P74" s="10">
        <v>401.06</v>
      </c>
      <c r="Q74" s="11">
        <f t="shared" si="8"/>
        <v>53.740000000000009</v>
      </c>
      <c r="R74" t="str">
        <f t="shared" si="11"/>
        <v>profit</v>
      </c>
    </row>
    <row r="75" spans="1:18" ht="15.75" customHeight="1" x14ac:dyDescent="0.4">
      <c r="A75" s="1" t="s">
        <v>180</v>
      </c>
      <c r="B75" s="2">
        <v>45100</v>
      </c>
      <c r="C75" s="2">
        <v>45102</v>
      </c>
      <c r="D75" s="2" t="str">
        <f t="shared" si="9"/>
        <v>2023</v>
      </c>
      <c r="E75" s="2" t="str">
        <f t="shared" si="6"/>
        <v>June</v>
      </c>
      <c r="F75" s="2" t="str">
        <f t="shared" si="10"/>
        <v>Q3</v>
      </c>
      <c r="G75" s="13">
        <f t="shared" si="7"/>
        <v>2</v>
      </c>
      <c r="H75" s="12" t="s">
        <v>23</v>
      </c>
      <c r="I75" s="1" t="s">
        <v>53</v>
      </c>
      <c r="J75" s="1" t="s">
        <v>14</v>
      </c>
      <c r="K75" s="1" t="s">
        <v>30</v>
      </c>
      <c r="L75" s="1" t="s">
        <v>181</v>
      </c>
      <c r="M75" s="10">
        <v>976.59</v>
      </c>
      <c r="N75" s="8">
        <v>3</v>
      </c>
      <c r="O75" s="6">
        <v>0.26</v>
      </c>
      <c r="P75" s="10">
        <v>692.31</v>
      </c>
      <c r="Q75" s="11">
        <f t="shared" si="8"/>
        <v>284.28000000000009</v>
      </c>
      <c r="R75" t="str">
        <f t="shared" si="11"/>
        <v>profit</v>
      </c>
    </row>
    <row r="76" spans="1:18" ht="15.75" customHeight="1" x14ac:dyDescent="0.4">
      <c r="A76" s="1" t="s">
        <v>182</v>
      </c>
      <c r="B76" s="2">
        <v>45317</v>
      </c>
      <c r="C76" s="2">
        <v>45325</v>
      </c>
      <c r="D76" s="2" t="str">
        <f t="shared" si="9"/>
        <v>2024</v>
      </c>
      <c r="E76" s="2" t="str">
        <f t="shared" si="6"/>
        <v>February</v>
      </c>
      <c r="F76" s="2" t="str">
        <f t="shared" si="10"/>
        <v>Q1</v>
      </c>
      <c r="G76" s="13">
        <f t="shared" si="7"/>
        <v>8</v>
      </c>
      <c r="H76" s="12" t="s">
        <v>1987</v>
      </c>
      <c r="I76" s="1" t="s">
        <v>46</v>
      </c>
      <c r="J76" s="1" t="s">
        <v>25</v>
      </c>
      <c r="K76" s="1" t="s">
        <v>43</v>
      </c>
      <c r="L76" s="1" t="s">
        <v>183</v>
      </c>
      <c r="M76" s="10">
        <v>884.86</v>
      </c>
      <c r="N76" s="8">
        <v>5</v>
      </c>
      <c r="O76" s="6">
        <v>0.14000000000000001</v>
      </c>
      <c r="P76" s="10">
        <v>730.16</v>
      </c>
      <c r="Q76" s="11">
        <f t="shared" si="8"/>
        <v>154.70000000000005</v>
      </c>
      <c r="R76" t="str">
        <f t="shared" si="11"/>
        <v>profit</v>
      </c>
    </row>
    <row r="77" spans="1:18" ht="15.75" customHeight="1" x14ac:dyDescent="0.4">
      <c r="A77" s="1" t="s">
        <v>184</v>
      </c>
      <c r="B77" s="2">
        <v>45063</v>
      </c>
      <c r="C77" s="2">
        <v>45069</v>
      </c>
      <c r="D77" s="2" t="str">
        <f t="shared" si="9"/>
        <v>2023</v>
      </c>
      <c r="E77" s="2" t="str">
        <f t="shared" si="6"/>
        <v>May</v>
      </c>
      <c r="F77" s="2" t="str">
        <f t="shared" si="10"/>
        <v>Q2</v>
      </c>
      <c r="G77" s="13">
        <f t="shared" si="7"/>
        <v>6</v>
      </c>
      <c r="H77" s="12" t="s">
        <v>42</v>
      </c>
      <c r="I77" s="1" t="s">
        <v>18</v>
      </c>
      <c r="J77" s="1" t="s">
        <v>14</v>
      </c>
      <c r="K77" s="1" t="s">
        <v>15</v>
      </c>
      <c r="L77" s="1" t="s">
        <v>185</v>
      </c>
      <c r="M77" s="10">
        <v>176.33</v>
      </c>
      <c r="N77" s="8">
        <v>8</v>
      </c>
      <c r="O77" s="6">
        <v>0.11</v>
      </c>
      <c r="P77" s="10">
        <v>110.82</v>
      </c>
      <c r="Q77" s="11">
        <f t="shared" si="8"/>
        <v>65.510000000000019</v>
      </c>
      <c r="R77" t="str">
        <f t="shared" si="11"/>
        <v>profit</v>
      </c>
    </row>
    <row r="78" spans="1:18" ht="15.75" customHeight="1" x14ac:dyDescent="0.4">
      <c r="A78" s="1" t="s">
        <v>186</v>
      </c>
      <c r="C78" s="2">
        <v>45272</v>
      </c>
      <c r="D78" s="2" t="str">
        <f t="shared" si="9"/>
        <v/>
      </c>
      <c r="E78" s="2" t="str">
        <f t="shared" si="6"/>
        <v>December</v>
      </c>
      <c r="F78" s="2" t="str">
        <f t="shared" si="10"/>
        <v>Q4</v>
      </c>
      <c r="G78" s="13">
        <f t="shared" si="7"/>
        <v>45272</v>
      </c>
      <c r="H78" s="12" t="s">
        <v>1988</v>
      </c>
      <c r="I78" s="1" t="s">
        <v>46</v>
      </c>
      <c r="J78" s="1" t="s">
        <v>25</v>
      </c>
      <c r="K78" s="1" t="s">
        <v>26</v>
      </c>
      <c r="L78" s="1" t="s">
        <v>187</v>
      </c>
      <c r="M78" s="11" t="s">
        <v>1989</v>
      </c>
      <c r="N78" s="8">
        <v>6</v>
      </c>
      <c r="O78" s="6">
        <v>0.27</v>
      </c>
      <c r="P78" s="10">
        <v>489.32</v>
      </c>
      <c r="Q78" s="11" t="e">
        <f t="shared" si="8"/>
        <v>#VALUE!</v>
      </c>
      <c r="R78" t="str">
        <f t="shared" si="11"/>
        <v>profit</v>
      </c>
    </row>
    <row r="79" spans="1:18" ht="15.75" customHeight="1" x14ac:dyDescent="0.4">
      <c r="A79" s="1" t="s">
        <v>188</v>
      </c>
      <c r="B79" s="2">
        <v>45314</v>
      </c>
      <c r="C79" s="2">
        <v>45320</v>
      </c>
      <c r="D79" s="2" t="str">
        <f t="shared" si="9"/>
        <v>2024</v>
      </c>
      <c r="E79" s="2" t="str">
        <f t="shared" si="6"/>
        <v>January</v>
      </c>
      <c r="F79" s="2" t="str">
        <f t="shared" si="10"/>
        <v>Q1</v>
      </c>
      <c r="G79" s="13">
        <f t="shared" si="7"/>
        <v>6</v>
      </c>
      <c r="H79" s="12" t="s">
        <v>1987</v>
      </c>
      <c r="I79" s="1" t="s">
        <v>46</v>
      </c>
      <c r="J79" s="1" t="s">
        <v>14</v>
      </c>
      <c r="K79" s="1" t="s">
        <v>15</v>
      </c>
      <c r="L79" s="1" t="s">
        <v>189</v>
      </c>
      <c r="M79" s="10">
        <v>782.81</v>
      </c>
      <c r="N79" s="8">
        <v>6</v>
      </c>
      <c r="O79" s="6">
        <v>0.08</v>
      </c>
      <c r="P79" s="10">
        <v>673.1</v>
      </c>
      <c r="Q79" s="11">
        <f t="shared" si="8"/>
        <v>109.70999999999992</v>
      </c>
      <c r="R79" t="str">
        <f t="shared" si="11"/>
        <v>profit</v>
      </c>
    </row>
    <row r="80" spans="1:18" ht="15.75" customHeight="1" x14ac:dyDescent="0.4">
      <c r="A80" s="1" t="s">
        <v>190</v>
      </c>
      <c r="B80" s="2">
        <v>44984</v>
      </c>
      <c r="C80" s="2">
        <v>44991</v>
      </c>
      <c r="D80" s="2" t="str">
        <f t="shared" si="9"/>
        <v>2023</v>
      </c>
      <c r="E80" s="2" t="str">
        <f t="shared" si="6"/>
        <v>March</v>
      </c>
      <c r="F80" s="2" t="str">
        <f t="shared" si="10"/>
        <v>Q2</v>
      </c>
      <c r="G80" s="13">
        <f t="shared" si="7"/>
        <v>7</v>
      </c>
      <c r="H80" s="12" t="s">
        <v>42</v>
      </c>
      <c r="I80" s="1" t="s">
        <v>46</v>
      </c>
      <c r="J80" s="1" t="s">
        <v>19</v>
      </c>
      <c r="K80" s="1" t="s">
        <v>35</v>
      </c>
      <c r="L80" s="1" t="s">
        <v>191</v>
      </c>
      <c r="M80" s="10">
        <v>700.38</v>
      </c>
      <c r="N80" s="8">
        <v>3</v>
      </c>
      <c r="O80" s="6">
        <v>0.34</v>
      </c>
      <c r="P80" s="10">
        <v>424.5</v>
      </c>
      <c r="Q80" s="11">
        <f t="shared" si="8"/>
        <v>275.88</v>
      </c>
      <c r="R80" t="str">
        <f t="shared" si="11"/>
        <v>profit</v>
      </c>
    </row>
    <row r="81" spans="1:18" ht="15.75" customHeight="1" x14ac:dyDescent="0.4">
      <c r="A81" s="1" t="s">
        <v>192</v>
      </c>
      <c r="B81" s="2">
        <v>45385</v>
      </c>
      <c r="C81" s="2">
        <v>45385</v>
      </c>
      <c r="D81" s="2" t="str">
        <f t="shared" si="9"/>
        <v>2024</v>
      </c>
      <c r="E81" s="2" t="str">
        <f t="shared" si="6"/>
        <v>April</v>
      </c>
      <c r="F81" s="2" t="str">
        <f t="shared" si="10"/>
        <v>Q2</v>
      </c>
      <c r="G81" s="13">
        <f t="shared" si="7"/>
        <v>0</v>
      </c>
      <c r="H81" s="12" t="s">
        <v>42</v>
      </c>
      <c r="I81" s="1" t="s">
        <v>24</v>
      </c>
      <c r="J81" s="1" t="s">
        <v>19</v>
      </c>
      <c r="K81" s="1" t="s">
        <v>92</v>
      </c>
      <c r="L81" s="1" t="s">
        <v>193</v>
      </c>
      <c r="M81" s="10">
        <v>625</v>
      </c>
      <c r="N81" s="8">
        <v>8</v>
      </c>
      <c r="O81" s="6">
        <v>0.16</v>
      </c>
      <c r="P81" s="10">
        <v>504.7</v>
      </c>
      <c r="Q81" s="11">
        <f t="shared" si="8"/>
        <v>120.30000000000001</v>
      </c>
      <c r="R81" t="str">
        <f t="shared" si="11"/>
        <v>profit</v>
      </c>
    </row>
    <row r="82" spans="1:18" ht="15.75" customHeight="1" x14ac:dyDescent="0.4">
      <c r="A82" s="1" t="s">
        <v>194</v>
      </c>
      <c r="B82" s="2">
        <v>45400</v>
      </c>
      <c r="C82" s="2">
        <v>45401</v>
      </c>
      <c r="D82" s="2" t="str">
        <f t="shared" si="9"/>
        <v>2024</v>
      </c>
      <c r="E82" s="2" t="str">
        <f t="shared" si="6"/>
        <v>April</v>
      </c>
      <c r="F82" s="2" t="str">
        <f t="shared" si="10"/>
        <v>Q2</v>
      </c>
      <c r="G82" s="13">
        <f t="shared" si="7"/>
        <v>1</v>
      </c>
      <c r="H82" s="12" t="s">
        <v>1987</v>
      </c>
      <c r="I82" s="1" t="s">
        <v>46</v>
      </c>
      <c r="J82" s="1" t="s">
        <v>25</v>
      </c>
      <c r="K82" s="1" t="s">
        <v>43</v>
      </c>
      <c r="L82" s="1" t="s">
        <v>195</v>
      </c>
      <c r="M82" s="10">
        <v>186.42</v>
      </c>
      <c r="N82" s="8">
        <v>6</v>
      </c>
      <c r="O82" s="6">
        <v>0.18</v>
      </c>
      <c r="P82" s="10">
        <v>124.76</v>
      </c>
      <c r="Q82" s="11">
        <f t="shared" si="8"/>
        <v>61.659999999999982</v>
      </c>
      <c r="R82" t="str">
        <f t="shared" si="11"/>
        <v>profit</v>
      </c>
    </row>
    <row r="83" spans="1:18" ht="15.75" customHeight="1" x14ac:dyDescent="0.4">
      <c r="A83" s="1" t="s">
        <v>196</v>
      </c>
      <c r="B83" s="2">
        <v>45602</v>
      </c>
      <c r="C83" s="2">
        <v>45610</v>
      </c>
      <c r="D83" s="2" t="str">
        <f t="shared" si="9"/>
        <v>2024</v>
      </c>
      <c r="E83" s="2" t="str">
        <f t="shared" si="6"/>
        <v>November</v>
      </c>
      <c r="F83" s="2" t="str">
        <f t="shared" si="10"/>
        <v>Q4</v>
      </c>
      <c r="G83" s="13">
        <f t="shared" si="7"/>
        <v>8</v>
      </c>
      <c r="H83" s="12" t="s">
        <v>23</v>
      </c>
      <c r="I83" s="1" t="s">
        <v>18</v>
      </c>
      <c r="J83" s="1" t="s">
        <v>14</v>
      </c>
      <c r="K83" s="1" t="s">
        <v>15</v>
      </c>
      <c r="L83" s="1" t="s">
        <v>197</v>
      </c>
      <c r="M83" s="10">
        <v>451.48</v>
      </c>
      <c r="N83" s="8">
        <v>7</v>
      </c>
      <c r="O83" s="6">
        <v>0.12</v>
      </c>
      <c r="P83" s="10">
        <v>358.68</v>
      </c>
      <c r="Q83" s="11">
        <f t="shared" si="8"/>
        <v>92.800000000000011</v>
      </c>
      <c r="R83" t="str">
        <f t="shared" si="11"/>
        <v>profit</v>
      </c>
    </row>
    <row r="84" spans="1:18" ht="15.75" customHeight="1" x14ac:dyDescent="0.4">
      <c r="A84" s="1" t="s">
        <v>198</v>
      </c>
      <c r="B84" s="2">
        <v>45389</v>
      </c>
      <c r="C84" s="2">
        <v>45394</v>
      </c>
      <c r="D84" s="2" t="str">
        <f t="shared" si="9"/>
        <v>2024</v>
      </c>
      <c r="E84" s="2" t="str">
        <f t="shared" si="6"/>
        <v>April</v>
      </c>
      <c r="F84" s="2" t="str">
        <f t="shared" si="10"/>
        <v>Q2</v>
      </c>
      <c r="G84" s="13">
        <f t="shared" si="7"/>
        <v>5</v>
      </c>
      <c r="H84" s="12" t="s">
        <v>42</v>
      </c>
      <c r="I84" s="1" t="s">
        <v>50</v>
      </c>
      <c r="J84" s="1" t="s">
        <v>25</v>
      </c>
      <c r="K84" s="1" t="s">
        <v>47</v>
      </c>
      <c r="L84" s="1" t="s">
        <v>199</v>
      </c>
      <c r="M84" s="10">
        <v>810.3</v>
      </c>
      <c r="N84" s="8">
        <v>5</v>
      </c>
      <c r="O84" s="6">
        <v>0.28999999999999998</v>
      </c>
      <c r="P84" s="10">
        <v>549.29999999999995</v>
      </c>
      <c r="Q84" s="11">
        <f t="shared" si="8"/>
        <v>261</v>
      </c>
      <c r="R84" t="str">
        <f t="shared" si="11"/>
        <v>profit</v>
      </c>
    </row>
    <row r="85" spans="1:18" ht="15.75" customHeight="1" x14ac:dyDescent="0.4">
      <c r="A85" s="1" t="s">
        <v>200</v>
      </c>
      <c r="B85" s="2">
        <v>45243</v>
      </c>
      <c r="C85" s="2">
        <v>45245</v>
      </c>
      <c r="D85" s="2" t="str">
        <f t="shared" si="9"/>
        <v>2023</v>
      </c>
      <c r="E85" s="2" t="str">
        <f t="shared" si="6"/>
        <v>November</v>
      </c>
      <c r="F85" s="2" t="str">
        <f t="shared" si="10"/>
        <v>Q4</v>
      </c>
      <c r="G85" s="13">
        <f t="shared" si="7"/>
        <v>2</v>
      </c>
      <c r="H85" s="12" t="s">
        <v>42</v>
      </c>
      <c r="I85" s="1" t="s">
        <v>18</v>
      </c>
      <c r="J85" s="1" t="s">
        <v>25</v>
      </c>
      <c r="K85" s="1" t="s">
        <v>47</v>
      </c>
      <c r="L85" s="1" t="s">
        <v>201</v>
      </c>
      <c r="M85" s="10">
        <v>832.06</v>
      </c>
      <c r="N85" s="8">
        <v>2</v>
      </c>
      <c r="O85" s="6">
        <v>0.35</v>
      </c>
      <c r="P85" s="10">
        <v>505.97</v>
      </c>
      <c r="Q85" s="11">
        <f t="shared" si="8"/>
        <v>326.08999999999992</v>
      </c>
      <c r="R85" t="str">
        <f t="shared" si="11"/>
        <v>profit</v>
      </c>
    </row>
    <row r="86" spans="1:18" ht="15.75" customHeight="1" x14ac:dyDescent="0.4">
      <c r="A86" s="1" t="s">
        <v>202</v>
      </c>
      <c r="B86" s="2">
        <v>45427</v>
      </c>
      <c r="C86" s="2">
        <v>45436</v>
      </c>
      <c r="D86" s="2" t="str">
        <f t="shared" si="9"/>
        <v>2024</v>
      </c>
      <c r="E86" s="2" t="str">
        <f t="shared" si="6"/>
        <v>May</v>
      </c>
      <c r="F86" s="2" t="str">
        <f t="shared" si="10"/>
        <v>Q2</v>
      </c>
      <c r="G86" s="13">
        <f t="shared" si="7"/>
        <v>9</v>
      </c>
      <c r="H86" s="12" t="s">
        <v>1987</v>
      </c>
      <c r="I86" s="1" t="s">
        <v>29</v>
      </c>
      <c r="J86" s="1" t="s">
        <v>14</v>
      </c>
      <c r="K86" s="1" t="s">
        <v>54</v>
      </c>
      <c r="L86" s="1" t="s">
        <v>203</v>
      </c>
      <c r="M86" s="10">
        <v>463.19</v>
      </c>
      <c r="N86" s="8">
        <v>8</v>
      </c>
      <c r="O86" s="6">
        <v>0.37</v>
      </c>
      <c r="P86" s="10">
        <v>262.94</v>
      </c>
      <c r="Q86" s="11">
        <f t="shared" si="8"/>
        <v>200.25</v>
      </c>
      <c r="R86" t="str">
        <f t="shared" si="11"/>
        <v>profit</v>
      </c>
    </row>
    <row r="87" spans="1:18" ht="15.75" customHeight="1" x14ac:dyDescent="0.4">
      <c r="A87" s="1" t="s">
        <v>204</v>
      </c>
      <c r="B87" s="2">
        <v>45295</v>
      </c>
      <c r="C87" s="2">
        <v>45297</v>
      </c>
      <c r="D87" s="2" t="str">
        <f t="shared" si="9"/>
        <v>2024</v>
      </c>
      <c r="E87" s="2" t="str">
        <f t="shared" si="6"/>
        <v>January</v>
      </c>
      <c r="F87" s="2" t="str">
        <f t="shared" si="10"/>
        <v>Q1</v>
      </c>
      <c r="G87" s="13">
        <f t="shared" si="7"/>
        <v>2</v>
      </c>
      <c r="H87" s="12" t="s">
        <v>23</v>
      </c>
      <c r="I87" s="1" t="s">
        <v>53</v>
      </c>
      <c r="J87" s="1" t="s">
        <v>14</v>
      </c>
      <c r="K87" s="1" t="s">
        <v>54</v>
      </c>
      <c r="L87" s="1" t="s">
        <v>205</v>
      </c>
      <c r="M87" s="10">
        <v>882.87</v>
      </c>
      <c r="N87" s="8">
        <v>10</v>
      </c>
      <c r="O87" s="6">
        <v>0.31</v>
      </c>
      <c r="P87" s="10">
        <v>585.6</v>
      </c>
      <c r="Q87" s="11">
        <f t="shared" si="8"/>
        <v>297.27</v>
      </c>
      <c r="R87" t="str">
        <f t="shared" si="11"/>
        <v>profit</v>
      </c>
    </row>
    <row r="88" spans="1:18" ht="15.75" customHeight="1" x14ac:dyDescent="0.4">
      <c r="A88" s="1" t="s">
        <v>206</v>
      </c>
      <c r="B88" s="2">
        <v>45008</v>
      </c>
      <c r="C88" s="2">
        <v>45015</v>
      </c>
      <c r="D88" s="2" t="str">
        <f t="shared" si="9"/>
        <v>2023</v>
      </c>
      <c r="E88" s="2" t="str">
        <f t="shared" si="6"/>
        <v>March</v>
      </c>
      <c r="F88" s="2" t="str">
        <f t="shared" si="10"/>
        <v>Q2</v>
      </c>
      <c r="G88" s="13">
        <f t="shared" si="7"/>
        <v>7</v>
      </c>
      <c r="H88" s="12" t="s">
        <v>1986</v>
      </c>
      <c r="I88" s="1" t="s">
        <v>29</v>
      </c>
      <c r="J88" s="1" t="s">
        <v>14</v>
      </c>
      <c r="K88" s="1" t="s">
        <v>15</v>
      </c>
      <c r="L88" s="1" t="s">
        <v>207</v>
      </c>
      <c r="M88" s="10">
        <v>635.44000000000005</v>
      </c>
      <c r="N88" s="8">
        <v>10</v>
      </c>
      <c r="O88" s="6">
        <v>0.2</v>
      </c>
      <c r="P88" s="10">
        <v>492.81</v>
      </c>
      <c r="Q88" s="11">
        <f t="shared" si="8"/>
        <v>142.63000000000005</v>
      </c>
      <c r="R88" t="str">
        <f t="shared" si="11"/>
        <v>profit</v>
      </c>
    </row>
    <row r="89" spans="1:18" ht="15.75" customHeight="1" x14ac:dyDescent="0.4">
      <c r="A89" s="1" t="s">
        <v>208</v>
      </c>
      <c r="B89" s="2">
        <v>45612</v>
      </c>
      <c r="C89" s="2">
        <v>45615</v>
      </c>
      <c r="D89" s="2" t="str">
        <f t="shared" si="9"/>
        <v>2024</v>
      </c>
      <c r="E89" s="2" t="str">
        <f t="shared" si="6"/>
        <v>November</v>
      </c>
      <c r="F89" s="2" t="str">
        <f t="shared" si="10"/>
        <v>Q4</v>
      </c>
      <c r="G89" s="13">
        <f t="shared" si="7"/>
        <v>3</v>
      </c>
      <c r="H89" s="12" t="s">
        <v>23</v>
      </c>
      <c r="I89" s="1" t="s">
        <v>59</v>
      </c>
      <c r="J89" s="1" t="s">
        <v>14</v>
      </c>
      <c r="K89" s="1" t="s">
        <v>15</v>
      </c>
      <c r="L89" s="1" t="s">
        <v>209</v>
      </c>
      <c r="M89" s="10">
        <v>553.08000000000004</v>
      </c>
      <c r="N89" s="8">
        <v>7</v>
      </c>
      <c r="O89" s="6">
        <v>0.21</v>
      </c>
      <c r="P89" s="10">
        <v>402.21</v>
      </c>
      <c r="Q89" s="11">
        <f t="shared" si="8"/>
        <v>150.87000000000006</v>
      </c>
      <c r="R89" t="str">
        <f t="shared" si="11"/>
        <v>profit</v>
      </c>
    </row>
    <row r="90" spans="1:18" ht="15.75" customHeight="1" x14ac:dyDescent="0.4">
      <c r="A90" s="1" t="s">
        <v>210</v>
      </c>
      <c r="B90" s="2">
        <v>45217</v>
      </c>
      <c r="C90" s="2">
        <v>45224</v>
      </c>
      <c r="D90" s="2" t="str">
        <f t="shared" si="9"/>
        <v>2023</v>
      </c>
      <c r="E90" s="2" t="str">
        <f t="shared" si="6"/>
        <v>October</v>
      </c>
      <c r="F90" s="2" t="str">
        <f t="shared" si="10"/>
        <v>Q4</v>
      </c>
      <c r="G90" s="13">
        <f t="shared" si="7"/>
        <v>7</v>
      </c>
      <c r="H90" s="12" t="s">
        <v>23</v>
      </c>
      <c r="I90" s="1" t="s">
        <v>46</v>
      </c>
      <c r="J90" s="1" t="s">
        <v>19</v>
      </c>
      <c r="K90" s="1" t="s">
        <v>20</v>
      </c>
      <c r="L90" s="1" t="s">
        <v>211</v>
      </c>
      <c r="M90" s="10">
        <v>832.79</v>
      </c>
      <c r="N90" s="8">
        <v>8</v>
      </c>
      <c r="O90" s="6">
        <v>0.2</v>
      </c>
      <c r="P90" s="10">
        <v>629.21</v>
      </c>
      <c r="Q90" s="11">
        <f t="shared" si="8"/>
        <v>203.57999999999993</v>
      </c>
      <c r="R90" t="str">
        <f t="shared" si="11"/>
        <v>profit</v>
      </c>
    </row>
    <row r="91" spans="1:18" ht="15.75" customHeight="1" x14ac:dyDescent="0.4">
      <c r="A91" s="1" t="s">
        <v>212</v>
      </c>
      <c r="B91" s="2">
        <v>45288</v>
      </c>
      <c r="C91" s="2">
        <v>45294</v>
      </c>
      <c r="D91" s="2" t="str">
        <f t="shared" si="9"/>
        <v>2023</v>
      </c>
      <c r="E91" s="2" t="str">
        <f t="shared" si="6"/>
        <v>January</v>
      </c>
      <c r="F91" s="2" t="str">
        <f t="shared" si="10"/>
        <v>Q1</v>
      </c>
      <c r="G91" s="13">
        <f t="shared" si="7"/>
        <v>6</v>
      </c>
      <c r="H91" s="12" t="s">
        <v>1986</v>
      </c>
      <c r="I91" s="1" t="s">
        <v>46</v>
      </c>
      <c r="J91" s="1" t="s">
        <v>25</v>
      </c>
      <c r="K91" s="1" t="s">
        <v>26</v>
      </c>
      <c r="L91" s="1" t="s">
        <v>213</v>
      </c>
      <c r="M91" s="10">
        <v>670.91</v>
      </c>
      <c r="N91" s="8">
        <v>4</v>
      </c>
      <c r="O91" s="6">
        <v>0.48</v>
      </c>
      <c r="P91" s="10">
        <v>333.13</v>
      </c>
      <c r="Q91" s="11">
        <f t="shared" si="8"/>
        <v>337.78</v>
      </c>
      <c r="R91" t="str">
        <f t="shared" si="11"/>
        <v>profit</v>
      </c>
    </row>
    <row r="92" spans="1:18" ht="15.75" customHeight="1" x14ac:dyDescent="0.4">
      <c r="A92" s="1" t="s">
        <v>214</v>
      </c>
      <c r="B92" s="2">
        <v>45032</v>
      </c>
      <c r="C92" s="2">
        <v>45032</v>
      </c>
      <c r="D92" s="2" t="str">
        <f t="shared" si="9"/>
        <v>2023</v>
      </c>
      <c r="E92" s="2" t="str">
        <f t="shared" si="6"/>
        <v>April</v>
      </c>
      <c r="F92" s="2" t="str">
        <f t="shared" si="10"/>
        <v>Q2</v>
      </c>
      <c r="G92" s="13">
        <f t="shared" si="7"/>
        <v>0</v>
      </c>
      <c r="H92" s="12" t="s">
        <v>1987</v>
      </c>
      <c r="I92" s="1" t="s">
        <v>59</v>
      </c>
      <c r="J92" s="1" t="s">
        <v>19</v>
      </c>
      <c r="K92" s="1" t="s">
        <v>92</v>
      </c>
      <c r="L92" s="1" t="s">
        <v>99</v>
      </c>
      <c r="M92" s="10">
        <v>257.67</v>
      </c>
      <c r="N92" s="8">
        <v>1</v>
      </c>
      <c r="O92" s="6">
        <v>0.12</v>
      </c>
      <c r="P92" s="10">
        <v>196.4</v>
      </c>
      <c r="Q92" s="11">
        <f t="shared" si="8"/>
        <v>61.27000000000001</v>
      </c>
      <c r="R92" t="str">
        <f t="shared" si="11"/>
        <v>profit</v>
      </c>
    </row>
    <row r="93" spans="1:18" ht="15.75" customHeight="1" x14ac:dyDescent="0.4">
      <c r="A93" s="1" t="s">
        <v>215</v>
      </c>
      <c r="B93" s="2">
        <v>45607</v>
      </c>
      <c r="C93" s="2">
        <v>45614</v>
      </c>
      <c r="D93" s="2" t="str">
        <f t="shared" si="9"/>
        <v>2024</v>
      </c>
      <c r="E93" s="2" t="str">
        <f t="shared" si="6"/>
        <v>November</v>
      </c>
      <c r="F93" s="2" t="str">
        <f t="shared" si="10"/>
        <v>Q4</v>
      </c>
      <c r="G93" s="13">
        <f t="shared" si="7"/>
        <v>7</v>
      </c>
      <c r="H93" s="12" t="s">
        <v>1986</v>
      </c>
      <c r="I93" s="1" t="s">
        <v>29</v>
      </c>
      <c r="J93" s="1" t="s">
        <v>25</v>
      </c>
      <c r="K93" s="1" t="s">
        <v>26</v>
      </c>
      <c r="L93" s="1" t="s">
        <v>216</v>
      </c>
      <c r="M93" s="10">
        <v>507.83</v>
      </c>
      <c r="N93" s="8">
        <v>8</v>
      </c>
      <c r="O93" s="6">
        <v>0.31</v>
      </c>
      <c r="P93" s="10">
        <v>323.92</v>
      </c>
      <c r="Q93" s="11">
        <f t="shared" si="8"/>
        <v>183.90999999999997</v>
      </c>
      <c r="R93" t="str">
        <f t="shared" si="11"/>
        <v>profit</v>
      </c>
    </row>
    <row r="94" spans="1:18" ht="15.75" customHeight="1" x14ac:dyDescent="0.4">
      <c r="A94" s="1" t="s">
        <v>217</v>
      </c>
      <c r="B94" s="2">
        <v>45237</v>
      </c>
      <c r="C94" s="2">
        <v>45246</v>
      </c>
      <c r="D94" s="2" t="str">
        <f t="shared" si="9"/>
        <v>2023</v>
      </c>
      <c r="E94" s="2" t="str">
        <f t="shared" si="6"/>
        <v>November</v>
      </c>
      <c r="F94" s="2" t="str">
        <f t="shared" si="10"/>
        <v>Q4</v>
      </c>
      <c r="G94" s="13">
        <f t="shared" si="7"/>
        <v>9</v>
      </c>
      <c r="H94" s="12" t="s">
        <v>42</v>
      </c>
      <c r="I94" s="1" t="s">
        <v>18</v>
      </c>
      <c r="J94" s="1" t="s">
        <v>14</v>
      </c>
      <c r="K94" s="1" t="s">
        <v>54</v>
      </c>
      <c r="L94" s="1" t="s">
        <v>218</v>
      </c>
      <c r="M94" s="10">
        <v>142.16</v>
      </c>
      <c r="N94" s="8">
        <v>2</v>
      </c>
      <c r="O94" s="6">
        <v>0.48</v>
      </c>
      <c r="P94" s="10">
        <v>62.81</v>
      </c>
      <c r="Q94" s="11">
        <f t="shared" si="8"/>
        <v>79.349999999999994</v>
      </c>
      <c r="R94" t="str">
        <f t="shared" si="11"/>
        <v>profit</v>
      </c>
    </row>
    <row r="95" spans="1:18" ht="15.75" customHeight="1" x14ac:dyDescent="0.4">
      <c r="A95" s="1" t="s">
        <v>219</v>
      </c>
      <c r="B95" s="2">
        <v>45118</v>
      </c>
      <c r="C95" s="2">
        <v>45119</v>
      </c>
      <c r="D95" s="2" t="str">
        <f t="shared" si="9"/>
        <v>2023</v>
      </c>
      <c r="E95" s="2" t="str">
        <f t="shared" si="6"/>
        <v>July</v>
      </c>
      <c r="F95" s="2" t="str">
        <f t="shared" si="10"/>
        <v>Q3</v>
      </c>
      <c r="G95" s="13">
        <f t="shared" si="7"/>
        <v>1</v>
      </c>
      <c r="H95" s="12" t="s">
        <v>1987</v>
      </c>
      <c r="I95" s="1" t="s">
        <v>46</v>
      </c>
      <c r="J95" s="1" t="s">
        <v>14</v>
      </c>
      <c r="K95" s="1" t="s">
        <v>30</v>
      </c>
      <c r="L95" s="1" t="s">
        <v>220</v>
      </c>
      <c r="M95" s="10">
        <v>9999</v>
      </c>
      <c r="N95" s="8">
        <v>4</v>
      </c>
      <c r="O95" s="6">
        <v>0.12</v>
      </c>
      <c r="P95" s="10">
        <v>470.36</v>
      </c>
      <c r="Q95" s="11">
        <f t="shared" si="8"/>
        <v>9528.64</v>
      </c>
      <c r="R95" t="str">
        <f t="shared" si="11"/>
        <v>profit</v>
      </c>
    </row>
    <row r="96" spans="1:18" ht="15.75" customHeight="1" x14ac:dyDescent="0.4">
      <c r="A96" s="1" t="s">
        <v>221</v>
      </c>
      <c r="B96" s="2">
        <v>45052</v>
      </c>
      <c r="C96" s="2">
        <v>45058</v>
      </c>
      <c r="D96" s="2" t="str">
        <f t="shared" si="9"/>
        <v>2023</v>
      </c>
      <c r="E96" s="2" t="str">
        <f t="shared" si="6"/>
        <v>May</v>
      </c>
      <c r="F96" s="2" t="str">
        <f t="shared" si="10"/>
        <v>Q2</v>
      </c>
      <c r="G96" s="13">
        <f t="shared" si="7"/>
        <v>6</v>
      </c>
      <c r="H96" s="12" t="s">
        <v>23</v>
      </c>
      <c r="I96" s="1" t="s">
        <v>24</v>
      </c>
      <c r="J96" s="1" t="s">
        <v>19</v>
      </c>
      <c r="K96" s="1" t="s">
        <v>20</v>
      </c>
      <c r="L96" s="1" t="s">
        <v>222</v>
      </c>
      <c r="M96" s="10">
        <v>238.61</v>
      </c>
      <c r="N96" s="8">
        <v>8</v>
      </c>
      <c r="O96" s="6">
        <v>0.15</v>
      </c>
      <c r="P96" s="10">
        <v>183</v>
      </c>
      <c r="Q96" s="11">
        <f t="shared" si="8"/>
        <v>55.610000000000014</v>
      </c>
      <c r="R96" t="str">
        <f t="shared" si="11"/>
        <v>profit</v>
      </c>
    </row>
    <row r="97" spans="1:18" ht="15.75" customHeight="1" x14ac:dyDescent="0.4">
      <c r="A97" s="1" t="s">
        <v>223</v>
      </c>
      <c r="B97" s="2">
        <v>45212</v>
      </c>
      <c r="C97" s="2">
        <v>45212</v>
      </c>
      <c r="D97" s="2" t="str">
        <f t="shared" si="9"/>
        <v>2023</v>
      </c>
      <c r="E97" s="2" t="str">
        <f t="shared" si="6"/>
        <v>October</v>
      </c>
      <c r="F97" s="2" t="str">
        <f t="shared" si="10"/>
        <v>Q4</v>
      </c>
      <c r="G97" s="13">
        <f t="shared" si="7"/>
        <v>0</v>
      </c>
      <c r="H97" s="12" t="s">
        <v>42</v>
      </c>
      <c r="I97" s="1" t="s">
        <v>18</v>
      </c>
      <c r="J97" s="1" t="s">
        <v>14</v>
      </c>
      <c r="K97" s="1" t="s">
        <v>30</v>
      </c>
      <c r="L97" s="1" t="s">
        <v>224</v>
      </c>
      <c r="M97" s="10">
        <v>490.84</v>
      </c>
      <c r="N97" s="8">
        <v>3</v>
      </c>
      <c r="O97" s="6">
        <v>0.38</v>
      </c>
      <c r="P97" s="10">
        <v>266.14999999999998</v>
      </c>
      <c r="Q97" s="11">
        <f t="shared" si="8"/>
        <v>224.69</v>
      </c>
      <c r="R97" t="str">
        <f t="shared" si="11"/>
        <v>profit</v>
      </c>
    </row>
    <row r="98" spans="1:18" ht="15.75" customHeight="1" x14ac:dyDescent="0.4">
      <c r="A98" s="1" t="s">
        <v>225</v>
      </c>
      <c r="C98" s="2">
        <v>45072</v>
      </c>
      <c r="D98" s="2" t="str">
        <f t="shared" si="9"/>
        <v/>
      </c>
      <c r="E98" s="2" t="str">
        <f t="shared" si="6"/>
        <v>May</v>
      </c>
      <c r="F98" s="2" t="str">
        <f t="shared" si="10"/>
        <v>Q2</v>
      </c>
      <c r="G98" s="13">
        <f t="shared" si="7"/>
        <v>45072</v>
      </c>
      <c r="H98" s="12" t="s">
        <v>1988</v>
      </c>
      <c r="I98" s="1" t="s">
        <v>18</v>
      </c>
      <c r="J98" s="1" t="s">
        <v>14</v>
      </c>
      <c r="K98" s="1" t="s">
        <v>30</v>
      </c>
      <c r="L98" s="1" t="s">
        <v>226</v>
      </c>
      <c r="M98" s="11" t="s">
        <v>1989</v>
      </c>
      <c r="N98" s="8">
        <v>4</v>
      </c>
      <c r="O98" s="6">
        <v>7.0000000000000007E-2</v>
      </c>
      <c r="P98" s="10">
        <v>435.88</v>
      </c>
      <c r="Q98" s="11" t="e">
        <f t="shared" si="8"/>
        <v>#VALUE!</v>
      </c>
      <c r="R98" t="str">
        <f t="shared" si="11"/>
        <v>profit</v>
      </c>
    </row>
    <row r="99" spans="1:18" ht="15.75" customHeight="1" x14ac:dyDescent="0.4">
      <c r="A99" s="1" t="s">
        <v>227</v>
      </c>
      <c r="B99" s="2">
        <v>44901</v>
      </c>
      <c r="C99" s="2">
        <v>44910</v>
      </c>
      <c r="D99" s="2" t="str">
        <f t="shared" si="9"/>
        <v>2022</v>
      </c>
      <c r="E99" s="2" t="str">
        <f t="shared" si="6"/>
        <v>December</v>
      </c>
      <c r="F99" s="2" t="str">
        <f t="shared" si="10"/>
        <v>Q4</v>
      </c>
      <c r="G99" s="13">
        <f t="shared" si="7"/>
        <v>9</v>
      </c>
      <c r="H99" s="12" t="s">
        <v>1987</v>
      </c>
      <c r="I99" s="1" t="s">
        <v>50</v>
      </c>
      <c r="J99" s="1" t="s">
        <v>19</v>
      </c>
      <c r="K99" s="1" t="s">
        <v>92</v>
      </c>
      <c r="L99" s="1" t="s">
        <v>228</v>
      </c>
      <c r="M99" s="10">
        <v>540.64</v>
      </c>
      <c r="N99" s="8">
        <v>9</v>
      </c>
      <c r="O99" s="6">
        <v>0.14000000000000001</v>
      </c>
      <c r="P99" s="10">
        <v>448.11</v>
      </c>
      <c r="Q99" s="11">
        <f t="shared" si="8"/>
        <v>92.529999999999973</v>
      </c>
      <c r="R99" t="str">
        <f t="shared" si="11"/>
        <v>profit</v>
      </c>
    </row>
    <row r="100" spans="1:18" ht="15.75" customHeight="1" x14ac:dyDescent="0.4">
      <c r="A100" s="1" t="s">
        <v>229</v>
      </c>
      <c r="B100" s="2">
        <v>45189</v>
      </c>
      <c r="C100" s="2">
        <v>45191</v>
      </c>
      <c r="D100" s="2" t="str">
        <f t="shared" si="9"/>
        <v>2023</v>
      </c>
      <c r="E100" s="2" t="str">
        <f t="shared" si="6"/>
        <v>September</v>
      </c>
      <c r="F100" s="2" t="str">
        <f t="shared" si="10"/>
        <v>Q4</v>
      </c>
      <c r="G100" s="13">
        <f t="shared" si="7"/>
        <v>2</v>
      </c>
      <c r="H100" s="12" t="s">
        <v>1986</v>
      </c>
      <c r="I100" s="1" t="s">
        <v>59</v>
      </c>
      <c r="J100" s="1" t="s">
        <v>25</v>
      </c>
      <c r="K100" s="1" t="s">
        <v>26</v>
      </c>
      <c r="L100" s="1" t="s">
        <v>230</v>
      </c>
      <c r="M100" s="10">
        <v>851.58</v>
      </c>
      <c r="N100" s="8">
        <v>4</v>
      </c>
      <c r="O100" s="6">
        <v>0.4</v>
      </c>
      <c r="P100" s="10">
        <v>497.14</v>
      </c>
      <c r="Q100" s="11">
        <f t="shared" si="8"/>
        <v>354.44000000000005</v>
      </c>
      <c r="R100" t="str">
        <f t="shared" si="11"/>
        <v>profit</v>
      </c>
    </row>
    <row r="101" spans="1:18" ht="15.75" customHeight="1" x14ac:dyDescent="0.4">
      <c r="A101" s="1" t="s">
        <v>231</v>
      </c>
      <c r="B101" s="2">
        <v>45159</v>
      </c>
      <c r="C101" s="2">
        <v>45165</v>
      </c>
      <c r="D101" s="2" t="str">
        <f t="shared" si="9"/>
        <v>2023</v>
      </c>
      <c r="E101" s="2" t="str">
        <f t="shared" si="6"/>
        <v>August</v>
      </c>
      <c r="F101" s="2" t="str">
        <f t="shared" si="10"/>
        <v>Q3</v>
      </c>
      <c r="G101" s="13">
        <f t="shared" si="7"/>
        <v>6</v>
      </c>
      <c r="H101" s="12" t="s">
        <v>1987</v>
      </c>
      <c r="I101" s="1" t="s">
        <v>46</v>
      </c>
      <c r="J101" s="1" t="s">
        <v>25</v>
      </c>
      <c r="K101" s="1" t="s">
        <v>43</v>
      </c>
      <c r="L101" s="1" t="s">
        <v>232</v>
      </c>
      <c r="M101" s="10">
        <v>502.67</v>
      </c>
      <c r="N101" s="8">
        <v>4</v>
      </c>
      <c r="O101" s="6">
        <v>0.02</v>
      </c>
      <c r="P101" s="10">
        <v>456.69</v>
      </c>
      <c r="Q101" s="11">
        <f t="shared" si="8"/>
        <v>45.980000000000018</v>
      </c>
      <c r="R101" t="str">
        <f t="shared" si="11"/>
        <v>profit</v>
      </c>
    </row>
    <row r="102" spans="1:18" ht="15.75" customHeight="1" x14ac:dyDescent="0.4">
      <c r="A102" s="1" t="s">
        <v>233</v>
      </c>
      <c r="B102" s="2">
        <v>45115</v>
      </c>
      <c r="C102" s="2">
        <v>45122</v>
      </c>
      <c r="D102" s="2" t="str">
        <f t="shared" si="9"/>
        <v>2023</v>
      </c>
      <c r="E102" s="2" t="str">
        <f t="shared" si="6"/>
        <v>July</v>
      </c>
      <c r="F102" s="2" t="str">
        <f t="shared" si="10"/>
        <v>Q3</v>
      </c>
      <c r="G102" s="13">
        <f t="shared" si="7"/>
        <v>7</v>
      </c>
      <c r="H102" s="12" t="s">
        <v>1986</v>
      </c>
      <c r="I102" s="1" t="s">
        <v>24</v>
      </c>
      <c r="J102" s="1" t="s">
        <v>14</v>
      </c>
      <c r="K102" s="1" t="s">
        <v>15</v>
      </c>
      <c r="L102" s="1" t="s">
        <v>234</v>
      </c>
      <c r="M102" s="10">
        <v>281.45</v>
      </c>
      <c r="N102" s="8">
        <v>8</v>
      </c>
      <c r="O102" s="6">
        <v>0.35</v>
      </c>
      <c r="P102" s="10">
        <v>137.03</v>
      </c>
      <c r="Q102" s="11">
        <f t="shared" si="8"/>
        <v>144.41999999999999</v>
      </c>
      <c r="R102" t="str">
        <f t="shared" si="11"/>
        <v>profit</v>
      </c>
    </row>
    <row r="103" spans="1:18" ht="15.75" customHeight="1" x14ac:dyDescent="0.4">
      <c r="A103" s="1" t="s">
        <v>235</v>
      </c>
      <c r="C103" s="2">
        <v>45566</v>
      </c>
      <c r="D103" s="2" t="str">
        <f t="shared" si="9"/>
        <v/>
      </c>
      <c r="E103" s="2" t="str">
        <f t="shared" si="6"/>
        <v>October</v>
      </c>
      <c r="F103" s="2" t="str">
        <f t="shared" si="10"/>
        <v>Q4</v>
      </c>
      <c r="G103" s="13">
        <f t="shared" si="7"/>
        <v>45566</v>
      </c>
      <c r="H103" s="12" t="s">
        <v>1988</v>
      </c>
      <c r="I103" s="1" t="s">
        <v>53</v>
      </c>
      <c r="J103" s="1" t="s">
        <v>25</v>
      </c>
      <c r="K103" s="1" t="s">
        <v>26</v>
      </c>
      <c r="L103" s="1" t="s">
        <v>236</v>
      </c>
      <c r="M103" s="11" t="s">
        <v>1989</v>
      </c>
      <c r="N103" s="8">
        <v>1</v>
      </c>
      <c r="O103" s="6">
        <v>0.05</v>
      </c>
      <c r="P103" s="10">
        <v>358.01</v>
      </c>
      <c r="Q103" s="11" t="e">
        <f t="shared" si="8"/>
        <v>#VALUE!</v>
      </c>
      <c r="R103" t="str">
        <f t="shared" si="11"/>
        <v>profit</v>
      </c>
    </row>
    <row r="104" spans="1:18" ht="15.75" customHeight="1" x14ac:dyDescent="0.4">
      <c r="A104" s="1" t="s">
        <v>237</v>
      </c>
      <c r="B104" s="2">
        <v>45050</v>
      </c>
      <c r="C104" s="2">
        <v>45053</v>
      </c>
      <c r="D104" s="2" t="str">
        <f t="shared" si="9"/>
        <v>2023</v>
      </c>
      <c r="E104" s="2" t="str">
        <f t="shared" si="6"/>
        <v>May</v>
      </c>
      <c r="F104" s="2" t="str">
        <f t="shared" si="10"/>
        <v>Q2</v>
      </c>
      <c r="G104" s="13">
        <f t="shared" si="7"/>
        <v>3</v>
      </c>
      <c r="H104" s="12" t="s">
        <v>1987</v>
      </c>
      <c r="I104" s="1" t="s">
        <v>46</v>
      </c>
      <c r="J104" s="1" t="s">
        <v>19</v>
      </c>
      <c r="K104" s="1" t="s">
        <v>20</v>
      </c>
      <c r="L104" s="1" t="s">
        <v>238</v>
      </c>
      <c r="M104" s="10">
        <v>561.08000000000004</v>
      </c>
      <c r="N104" s="8">
        <v>4</v>
      </c>
      <c r="O104" s="6">
        <v>0.31</v>
      </c>
      <c r="P104" s="10">
        <v>376.99</v>
      </c>
      <c r="Q104" s="11">
        <f t="shared" si="8"/>
        <v>184.09000000000003</v>
      </c>
      <c r="R104" t="str">
        <f t="shared" si="11"/>
        <v>profit</v>
      </c>
    </row>
    <row r="105" spans="1:18" ht="15.75" customHeight="1" x14ac:dyDescent="0.4">
      <c r="A105" s="1" t="s">
        <v>239</v>
      </c>
      <c r="B105" s="2">
        <v>45090</v>
      </c>
      <c r="C105" s="2">
        <v>45091</v>
      </c>
      <c r="D105" s="2" t="str">
        <f t="shared" si="9"/>
        <v>2023</v>
      </c>
      <c r="E105" s="2" t="str">
        <f t="shared" si="6"/>
        <v>June</v>
      </c>
      <c r="F105" s="2" t="str">
        <f t="shared" si="10"/>
        <v>Q3</v>
      </c>
      <c r="G105" s="13">
        <f t="shared" si="7"/>
        <v>1</v>
      </c>
      <c r="H105" s="12" t="s">
        <v>42</v>
      </c>
      <c r="I105" s="1" t="s">
        <v>59</v>
      </c>
      <c r="J105" s="1" t="s">
        <v>19</v>
      </c>
      <c r="K105" s="1" t="s">
        <v>35</v>
      </c>
      <c r="L105" s="1" t="s">
        <v>240</v>
      </c>
      <c r="M105" s="10">
        <v>956.97</v>
      </c>
      <c r="N105" s="8">
        <v>4</v>
      </c>
      <c r="O105" s="6">
        <v>0.32</v>
      </c>
      <c r="P105" s="10">
        <v>626.44000000000005</v>
      </c>
      <c r="Q105" s="11">
        <f t="shared" si="8"/>
        <v>330.53</v>
      </c>
      <c r="R105" t="str">
        <f t="shared" si="11"/>
        <v>profit</v>
      </c>
    </row>
    <row r="106" spans="1:18" ht="15.75" customHeight="1" x14ac:dyDescent="0.4">
      <c r="A106" s="1" t="s">
        <v>241</v>
      </c>
      <c r="B106" s="2">
        <v>45017</v>
      </c>
      <c r="C106" s="2">
        <v>45022</v>
      </c>
      <c r="D106" s="2" t="str">
        <f t="shared" si="9"/>
        <v>2023</v>
      </c>
      <c r="E106" s="2" t="str">
        <f t="shared" si="6"/>
        <v>April</v>
      </c>
      <c r="F106" s="2" t="str">
        <f t="shared" si="10"/>
        <v>Q2</v>
      </c>
      <c r="G106" s="13">
        <f t="shared" si="7"/>
        <v>5</v>
      </c>
      <c r="H106" s="12" t="s">
        <v>1987</v>
      </c>
      <c r="I106" s="1" t="s">
        <v>53</v>
      </c>
      <c r="J106" s="1" t="s">
        <v>19</v>
      </c>
      <c r="K106" s="1" t="s">
        <v>92</v>
      </c>
      <c r="L106" s="1" t="s">
        <v>242</v>
      </c>
      <c r="M106" s="10">
        <v>218.36</v>
      </c>
      <c r="N106" s="8">
        <v>6</v>
      </c>
      <c r="O106" s="6">
        <v>0.15</v>
      </c>
      <c r="P106" s="10">
        <v>152.22</v>
      </c>
      <c r="Q106" s="11">
        <f t="shared" si="8"/>
        <v>66.140000000000015</v>
      </c>
      <c r="R106" t="str">
        <f t="shared" si="11"/>
        <v>profit</v>
      </c>
    </row>
    <row r="107" spans="1:18" ht="15.75" customHeight="1" x14ac:dyDescent="0.4">
      <c r="A107" s="1" t="s">
        <v>243</v>
      </c>
      <c r="B107" s="2">
        <v>45449</v>
      </c>
      <c r="C107" s="2">
        <v>45458</v>
      </c>
      <c r="D107" s="2" t="str">
        <f t="shared" si="9"/>
        <v>2024</v>
      </c>
      <c r="E107" s="2" t="str">
        <f t="shared" si="6"/>
        <v>June</v>
      </c>
      <c r="F107" s="2" t="str">
        <f t="shared" si="10"/>
        <v>Q3</v>
      </c>
      <c r="G107" s="13">
        <f t="shared" si="7"/>
        <v>9</v>
      </c>
      <c r="H107" s="12" t="s">
        <v>23</v>
      </c>
      <c r="I107" s="1" t="s">
        <v>18</v>
      </c>
      <c r="J107" s="1" t="s">
        <v>14</v>
      </c>
      <c r="K107" s="1" t="s">
        <v>54</v>
      </c>
      <c r="L107" s="1" t="s">
        <v>244</v>
      </c>
      <c r="M107" s="10">
        <v>849.54</v>
      </c>
      <c r="N107" s="8">
        <v>8</v>
      </c>
      <c r="O107" s="6">
        <v>0.31</v>
      </c>
      <c r="P107" s="10">
        <v>559.52</v>
      </c>
      <c r="Q107" s="11">
        <f t="shared" si="8"/>
        <v>290.02</v>
      </c>
      <c r="R107" t="str">
        <f t="shared" si="11"/>
        <v>profit</v>
      </c>
    </row>
    <row r="108" spans="1:18" ht="15.75" customHeight="1" x14ac:dyDescent="0.4">
      <c r="A108" s="1" t="s">
        <v>245</v>
      </c>
      <c r="B108" s="2">
        <v>45161</v>
      </c>
      <c r="C108" s="2">
        <v>45161</v>
      </c>
      <c r="D108" s="2" t="str">
        <f t="shared" si="9"/>
        <v>2023</v>
      </c>
      <c r="E108" s="2" t="str">
        <f t="shared" si="6"/>
        <v>August</v>
      </c>
      <c r="F108" s="2" t="str">
        <f t="shared" si="10"/>
        <v>Q3</v>
      </c>
      <c r="G108" s="13">
        <f t="shared" si="7"/>
        <v>0</v>
      </c>
      <c r="H108" s="12" t="s">
        <v>42</v>
      </c>
      <c r="I108" s="1" t="s">
        <v>46</v>
      </c>
      <c r="J108" s="1" t="s">
        <v>19</v>
      </c>
      <c r="K108" s="1" t="s">
        <v>20</v>
      </c>
      <c r="L108" s="1" t="s">
        <v>246</v>
      </c>
      <c r="M108" s="10">
        <v>595.66999999999996</v>
      </c>
      <c r="N108" s="8">
        <v>8</v>
      </c>
      <c r="O108" s="6">
        <v>0.38</v>
      </c>
      <c r="P108" s="10">
        <v>329.44</v>
      </c>
      <c r="Q108" s="11">
        <f t="shared" si="8"/>
        <v>266.22999999999996</v>
      </c>
      <c r="R108" t="str">
        <f t="shared" si="11"/>
        <v>profit</v>
      </c>
    </row>
    <row r="109" spans="1:18" ht="15.75" customHeight="1" x14ac:dyDescent="0.4">
      <c r="A109" s="1" t="s">
        <v>247</v>
      </c>
      <c r="B109" s="2">
        <v>45606</v>
      </c>
      <c r="C109" s="2">
        <v>45608</v>
      </c>
      <c r="D109" s="2" t="str">
        <f t="shared" si="9"/>
        <v>2024</v>
      </c>
      <c r="E109" s="2" t="str">
        <f t="shared" si="6"/>
        <v>November</v>
      </c>
      <c r="F109" s="2" t="str">
        <f t="shared" si="10"/>
        <v>Q4</v>
      </c>
      <c r="G109" s="13">
        <f t="shared" si="7"/>
        <v>2</v>
      </c>
      <c r="H109" s="12" t="s">
        <v>1986</v>
      </c>
      <c r="I109" s="1" t="s">
        <v>24</v>
      </c>
      <c r="J109" s="1" t="s">
        <v>14</v>
      </c>
      <c r="K109" s="1" t="s">
        <v>15</v>
      </c>
      <c r="L109" s="1" t="s">
        <v>248</v>
      </c>
      <c r="M109" s="10">
        <v>674.76</v>
      </c>
      <c r="N109" s="8">
        <v>9</v>
      </c>
      <c r="O109" s="6">
        <v>0.09</v>
      </c>
      <c r="P109" s="10">
        <v>600.91999999999996</v>
      </c>
      <c r="Q109" s="11">
        <f t="shared" si="8"/>
        <v>73.840000000000032</v>
      </c>
      <c r="R109" t="str">
        <f t="shared" si="11"/>
        <v>profit</v>
      </c>
    </row>
    <row r="110" spans="1:18" ht="15.75" customHeight="1" x14ac:dyDescent="0.4">
      <c r="A110" s="1" t="s">
        <v>249</v>
      </c>
      <c r="B110" s="2">
        <v>45497</v>
      </c>
      <c r="C110" s="2">
        <v>45497</v>
      </c>
      <c r="D110" s="2" t="str">
        <f t="shared" si="9"/>
        <v>2024</v>
      </c>
      <c r="E110" s="2" t="str">
        <f t="shared" si="6"/>
        <v>July</v>
      </c>
      <c r="F110" s="2" t="str">
        <f t="shared" si="10"/>
        <v>Q3</v>
      </c>
      <c r="G110" s="13">
        <f t="shared" si="7"/>
        <v>0</v>
      </c>
      <c r="H110" s="12" t="s">
        <v>42</v>
      </c>
      <c r="I110" s="1" t="s">
        <v>24</v>
      </c>
      <c r="J110" s="1" t="s">
        <v>14</v>
      </c>
      <c r="K110" s="1" t="s">
        <v>30</v>
      </c>
      <c r="L110" s="1" t="s">
        <v>250</v>
      </c>
      <c r="M110" s="10">
        <v>562.79999999999995</v>
      </c>
      <c r="N110" s="8">
        <v>4</v>
      </c>
      <c r="O110" s="6">
        <v>0.45</v>
      </c>
      <c r="P110" s="10">
        <v>267.27999999999997</v>
      </c>
      <c r="Q110" s="11">
        <f t="shared" si="8"/>
        <v>295.52</v>
      </c>
      <c r="R110" t="str">
        <f t="shared" si="11"/>
        <v>profit</v>
      </c>
    </row>
    <row r="111" spans="1:18" ht="15.75" customHeight="1" x14ac:dyDescent="0.4">
      <c r="A111" s="1" t="s">
        <v>251</v>
      </c>
      <c r="B111" s="2">
        <v>45452</v>
      </c>
      <c r="C111" s="2">
        <v>45455</v>
      </c>
      <c r="D111" s="2" t="str">
        <f t="shared" si="9"/>
        <v>2024</v>
      </c>
      <c r="E111" s="2" t="str">
        <f t="shared" si="6"/>
        <v>June</v>
      </c>
      <c r="F111" s="2" t="str">
        <f t="shared" si="10"/>
        <v>Q3</v>
      </c>
      <c r="G111" s="13">
        <f t="shared" si="7"/>
        <v>3</v>
      </c>
      <c r="H111" s="12" t="s">
        <v>23</v>
      </c>
      <c r="I111" s="1" t="s">
        <v>46</v>
      </c>
      <c r="J111" s="1" t="s">
        <v>19</v>
      </c>
      <c r="K111" s="1" t="s">
        <v>35</v>
      </c>
      <c r="L111" s="1" t="s">
        <v>252</v>
      </c>
      <c r="M111" s="10">
        <v>275.35000000000002</v>
      </c>
      <c r="N111" s="8">
        <v>4</v>
      </c>
      <c r="O111" s="6">
        <v>0.46</v>
      </c>
      <c r="P111" s="10">
        <v>130.46</v>
      </c>
      <c r="Q111" s="11">
        <f t="shared" si="8"/>
        <v>144.89000000000001</v>
      </c>
      <c r="R111" t="str">
        <f t="shared" si="11"/>
        <v>profit</v>
      </c>
    </row>
    <row r="112" spans="1:18" ht="15.75" customHeight="1" x14ac:dyDescent="0.4">
      <c r="A112" s="1" t="s">
        <v>253</v>
      </c>
      <c r="B112" s="2">
        <v>44968</v>
      </c>
      <c r="C112" s="2">
        <v>44970</v>
      </c>
      <c r="D112" s="2" t="str">
        <f t="shared" si="9"/>
        <v>2023</v>
      </c>
      <c r="E112" s="2" t="str">
        <f t="shared" si="6"/>
        <v>February</v>
      </c>
      <c r="F112" s="2" t="str">
        <f t="shared" si="10"/>
        <v>Q1</v>
      </c>
      <c r="G112" s="13">
        <f t="shared" si="7"/>
        <v>2</v>
      </c>
      <c r="H112" s="12" t="s">
        <v>1986</v>
      </c>
      <c r="I112" s="1" t="s">
        <v>59</v>
      </c>
      <c r="J112" s="1" t="s">
        <v>19</v>
      </c>
      <c r="K112" s="1" t="s">
        <v>35</v>
      </c>
      <c r="L112" s="1" t="s">
        <v>254</v>
      </c>
      <c r="M112" s="10">
        <v>473.16</v>
      </c>
      <c r="N112" s="8">
        <v>5</v>
      </c>
      <c r="O112" s="6">
        <v>0.34</v>
      </c>
      <c r="P112" s="10">
        <v>273.11</v>
      </c>
      <c r="Q112" s="11">
        <f t="shared" si="8"/>
        <v>200.05</v>
      </c>
      <c r="R112" t="str">
        <f t="shared" si="11"/>
        <v>profit</v>
      </c>
    </row>
    <row r="113" spans="1:18" ht="15.75" customHeight="1" x14ac:dyDescent="0.4">
      <c r="A113" s="1" t="s">
        <v>255</v>
      </c>
      <c r="B113" s="2">
        <v>45220</v>
      </c>
      <c r="C113" s="2">
        <v>45228</v>
      </c>
      <c r="D113" s="2" t="str">
        <f t="shared" si="9"/>
        <v>2023</v>
      </c>
      <c r="E113" s="2" t="str">
        <f t="shared" si="6"/>
        <v>October</v>
      </c>
      <c r="F113" s="2" t="str">
        <f t="shared" si="10"/>
        <v>Q4</v>
      </c>
      <c r="G113" s="13">
        <f t="shared" si="7"/>
        <v>8</v>
      </c>
      <c r="H113" s="12" t="s">
        <v>23</v>
      </c>
      <c r="I113" s="1" t="s">
        <v>53</v>
      </c>
      <c r="J113" s="1" t="s">
        <v>19</v>
      </c>
      <c r="K113" s="1" t="s">
        <v>92</v>
      </c>
      <c r="L113" s="1" t="s">
        <v>256</v>
      </c>
      <c r="M113" s="10">
        <v>350.98</v>
      </c>
      <c r="N113" s="8">
        <v>7</v>
      </c>
      <c r="O113" s="6">
        <v>0.21</v>
      </c>
      <c r="P113" s="10">
        <v>229.38</v>
      </c>
      <c r="Q113" s="11">
        <f t="shared" si="8"/>
        <v>121.60000000000002</v>
      </c>
      <c r="R113" t="str">
        <f t="shared" si="11"/>
        <v>profit</v>
      </c>
    </row>
    <row r="114" spans="1:18" ht="15.75" customHeight="1" x14ac:dyDescent="0.4">
      <c r="A114" s="1" t="s">
        <v>257</v>
      </c>
      <c r="B114" s="2">
        <v>45495</v>
      </c>
      <c r="C114" s="2">
        <v>45499</v>
      </c>
      <c r="D114" s="2" t="str">
        <f t="shared" si="9"/>
        <v>2024</v>
      </c>
      <c r="E114" s="2" t="str">
        <f t="shared" si="6"/>
        <v>July</v>
      </c>
      <c r="F114" s="2" t="str">
        <f t="shared" si="10"/>
        <v>Q3</v>
      </c>
      <c r="G114" s="13">
        <f t="shared" si="7"/>
        <v>4</v>
      </c>
      <c r="H114" s="12" t="s">
        <v>42</v>
      </c>
      <c r="I114" s="1" t="s">
        <v>18</v>
      </c>
      <c r="J114" s="1" t="s">
        <v>19</v>
      </c>
      <c r="K114" s="1" t="s">
        <v>92</v>
      </c>
      <c r="L114" s="1" t="s">
        <v>258</v>
      </c>
      <c r="M114" s="10">
        <v>615.13</v>
      </c>
      <c r="N114" s="8">
        <v>8</v>
      </c>
      <c r="O114" s="6">
        <v>0.3</v>
      </c>
      <c r="P114" s="10">
        <v>401.79</v>
      </c>
      <c r="Q114" s="11">
        <f t="shared" si="8"/>
        <v>213.33999999999997</v>
      </c>
      <c r="R114" t="str">
        <f t="shared" si="11"/>
        <v>profit</v>
      </c>
    </row>
    <row r="115" spans="1:18" ht="15.75" customHeight="1" x14ac:dyDescent="0.4">
      <c r="A115" s="1" t="s">
        <v>259</v>
      </c>
      <c r="B115" s="2">
        <v>45186</v>
      </c>
      <c r="C115" s="2">
        <v>45194</v>
      </c>
      <c r="D115" s="2" t="str">
        <f t="shared" si="9"/>
        <v>2023</v>
      </c>
      <c r="E115" s="2" t="str">
        <f t="shared" si="6"/>
        <v>September</v>
      </c>
      <c r="F115" s="2" t="str">
        <f t="shared" si="10"/>
        <v>Q4</v>
      </c>
      <c r="G115" s="13">
        <f t="shared" si="7"/>
        <v>8</v>
      </c>
      <c r="H115" s="12" t="s">
        <v>42</v>
      </c>
      <c r="I115" s="1" t="s">
        <v>50</v>
      </c>
      <c r="J115" s="1" t="s">
        <v>25</v>
      </c>
      <c r="K115" s="1" t="s">
        <v>26</v>
      </c>
      <c r="L115" s="1" t="s">
        <v>260</v>
      </c>
      <c r="M115" s="10">
        <v>378.49</v>
      </c>
      <c r="N115" s="8">
        <v>5</v>
      </c>
      <c r="O115" s="6">
        <v>0.42</v>
      </c>
      <c r="P115" s="10">
        <v>201.63</v>
      </c>
      <c r="Q115" s="11">
        <f t="shared" si="8"/>
        <v>176.86</v>
      </c>
      <c r="R115" t="str">
        <f t="shared" si="11"/>
        <v>profit</v>
      </c>
    </row>
    <row r="116" spans="1:18" ht="15.75" customHeight="1" x14ac:dyDescent="0.4">
      <c r="A116" s="1" t="s">
        <v>261</v>
      </c>
      <c r="B116" s="2">
        <v>45290</v>
      </c>
      <c r="C116" s="2">
        <v>45293</v>
      </c>
      <c r="D116" s="2" t="str">
        <f t="shared" si="9"/>
        <v>2023</v>
      </c>
      <c r="E116" s="2" t="str">
        <f t="shared" si="6"/>
        <v>January</v>
      </c>
      <c r="F116" s="2" t="str">
        <f t="shared" si="10"/>
        <v>Q1</v>
      </c>
      <c r="G116" s="13">
        <f t="shared" si="7"/>
        <v>3</v>
      </c>
      <c r="H116" s="12" t="s">
        <v>23</v>
      </c>
      <c r="I116" s="1" t="s">
        <v>53</v>
      </c>
      <c r="J116" s="1" t="s">
        <v>19</v>
      </c>
      <c r="K116" s="1" t="s">
        <v>35</v>
      </c>
      <c r="L116" s="1" t="s">
        <v>262</v>
      </c>
      <c r="M116" s="10">
        <v>644.17999999999995</v>
      </c>
      <c r="N116" s="8">
        <v>5</v>
      </c>
      <c r="O116" s="6">
        <v>0.22</v>
      </c>
      <c r="P116" s="10">
        <v>470.59</v>
      </c>
      <c r="Q116" s="11">
        <f t="shared" si="8"/>
        <v>173.58999999999997</v>
      </c>
      <c r="R116" t="str">
        <f t="shared" si="11"/>
        <v>profit</v>
      </c>
    </row>
    <row r="117" spans="1:18" ht="15.75" customHeight="1" x14ac:dyDescent="0.4">
      <c r="A117" s="1" t="s">
        <v>263</v>
      </c>
      <c r="B117" s="2">
        <v>45463</v>
      </c>
      <c r="C117" s="2">
        <v>45463</v>
      </c>
      <c r="D117" s="2" t="str">
        <f t="shared" si="9"/>
        <v>2024</v>
      </c>
      <c r="E117" s="2" t="str">
        <f t="shared" si="6"/>
        <v>June</v>
      </c>
      <c r="F117" s="2" t="str">
        <f t="shared" si="10"/>
        <v>Q3</v>
      </c>
      <c r="G117" s="13">
        <f t="shared" si="7"/>
        <v>0</v>
      </c>
      <c r="H117" s="12" t="s">
        <v>23</v>
      </c>
      <c r="I117" s="1" t="s">
        <v>59</v>
      </c>
      <c r="J117" s="1" t="s">
        <v>14</v>
      </c>
      <c r="K117" s="1" t="s">
        <v>30</v>
      </c>
      <c r="L117" s="1" t="s">
        <v>264</v>
      </c>
      <c r="M117" s="10">
        <v>795.72</v>
      </c>
      <c r="N117" s="8">
        <v>6</v>
      </c>
      <c r="O117" s="6">
        <v>0.21</v>
      </c>
      <c r="P117" s="10">
        <v>617.19000000000005</v>
      </c>
      <c r="Q117" s="11">
        <f t="shared" si="8"/>
        <v>178.52999999999997</v>
      </c>
      <c r="R117" t="str">
        <f t="shared" si="11"/>
        <v>profit</v>
      </c>
    </row>
    <row r="118" spans="1:18" ht="15.75" customHeight="1" x14ac:dyDescent="0.4">
      <c r="A118" s="1" t="s">
        <v>265</v>
      </c>
      <c r="B118" s="2">
        <v>45549</v>
      </c>
      <c r="C118" s="2">
        <v>45550</v>
      </c>
      <c r="D118" s="2" t="str">
        <f t="shared" si="9"/>
        <v>2024</v>
      </c>
      <c r="E118" s="2" t="str">
        <f t="shared" si="6"/>
        <v>September</v>
      </c>
      <c r="F118" s="2" t="str">
        <f t="shared" si="10"/>
        <v>Q4</v>
      </c>
      <c r="G118" s="13">
        <f t="shared" si="7"/>
        <v>1</v>
      </c>
      <c r="H118" s="12" t="s">
        <v>1987</v>
      </c>
      <c r="I118" s="1" t="s">
        <v>46</v>
      </c>
      <c r="J118" s="1" t="s">
        <v>19</v>
      </c>
      <c r="K118" s="1" t="s">
        <v>92</v>
      </c>
      <c r="L118" s="1" t="s">
        <v>266</v>
      </c>
      <c r="M118" s="10">
        <v>917.3</v>
      </c>
      <c r="N118" s="8">
        <v>8</v>
      </c>
      <c r="O118" s="6">
        <v>0.41</v>
      </c>
      <c r="P118" s="10">
        <v>519.53</v>
      </c>
      <c r="Q118" s="11">
        <f t="shared" si="8"/>
        <v>397.77</v>
      </c>
      <c r="R118" t="str">
        <f t="shared" si="11"/>
        <v>profit</v>
      </c>
    </row>
    <row r="119" spans="1:18" ht="15.75" customHeight="1" x14ac:dyDescent="0.4">
      <c r="A119" s="1" t="s">
        <v>267</v>
      </c>
      <c r="B119" s="2">
        <v>45418</v>
      </c>
      <c r="C119" s="2">
        <v>45422</v>
      </c>
      <c r="D119" s="2" t="str">
        <f t="shared" si="9"/>
        <v>2024</v>
      </c>
      <c r="E119" s="2" t="str">
        <f t="shared" si="6"/>
        <v>May</v>
      </c>
      <c r="F119" s="2" t="str">
        <f t="shared" si="10"/>
        <v>Q2</v>
      </c>
      <c r="G119" s="13">
        <f t="shared" si="7"/>
        <v>4</v>
      </c>
      <c r="H119" s="12" t="s">
        <v>1987</v>
      </c>
      <c r="I119" s="1" t="s">
        <v>13</v>
      </c>
      <c r="J119" s="1" t="s">
        <v>25</v>
      </c>
      <c r="K119" s="1" t="s">
        <v>43</v>
      </c>
      <c r="L119" s="1" t="s">
        <v>268</v>
      </c>
      <c r="M119" s="10">
        <v>696.15</v>
      </c>
      <c r="N119" s="8">
        <v>3</v>
      </c>
      <c r="O119" s="6">
        <v>0.1</v>
      </c>
      <c r="P119" s="10">
        <v>615.9</v>
      </c>
      <c r="Q119" s="11">
        <f t="shared" si="8"/>
        <v>80.25</v>
      </c>
      <c r="R119" t="str">
        <f t="shared" si="11"/>
        <v>profit</v>
      </c>
    </row>
    <row r="120" spans="1:18" ht="15.75" customHeight="1" x14ac:dyDescent="0.4">
      <c r="A120" s="1" t="s">
        <v>269</v>
      </c>
      <c r="B120" s="2">
        <v>45592</v>
      </c>
      <c r="C120" s="2">
        <v>45596</v>
      </c>
      <c r="D120" s="2" t="str">
        <f t="shared" si="9"/>
        <v>2024</v>
      </c>
      <c r="E120" s="2" t="str">
        <f t="shared" si="6"/>
        <v>October</v>
      </c>
      <c r="F120" s="2" t="str">
        <f t="shared" si="10"/>
        <v>Q4</v>
      </c>
      <c r="G120" s="13">
        <f t="shared" si="7"/>
        <v>4</v>
      </c>
      <c r="H120" s="12" t="s">
        <v>1986</v>
      </c>
      <c r="I120" s="1" t="s">
        <v>24</v>
      </c>
      <c r="J120" s="1" t="s">
        <v>25</v>
      </c>
      <c r="K120" s="1" t="s">
        <v>47</v>
      </c>
      <c r="L120" s="1" t="s">
        <v>270</v>
      </c>
      <c r="M120" s="10">
        <v>754.21</v>
      </c>
      <c r="N120" s="8">
        <v>4</v>
      </c>
      <c r="O120" s="6">
        <v>0.14000000000000001</v>
      </c>
      <c r="P120" s="10">
        <v>624.71</v>
      </c>
      <c r="Q120" s="11">
        <f t="shared" si="8"/>
        <v>129.5</v>
      </c>
      <c r="R120" t="str">
        <f t="shared" si="11"/>
        <v>profit</v>
      </c>
    </row>
    <row r="121" spans="1:18" ht="15.75" customHeight="1" x14ac:dyDescent="0.4">
      <c r="A121" s="1" t="s">
        <v>271</v>
      </c>
      <c r="B121" s="2">
        <v>44986</v>
      </c>
      <c r="C121" s="2">
        <v>44994</v>
      </c>
      <c r="D121" s="2" t="str">
        <f t="shared" si="9"/>
        <v>2023</v>
      </c>
      <c r="E121" s="2" t="str">
        <f t="shared" si="6"/>
        <v>March</v>
      </c>
      <c r="F121" s="2" t="str">
        <f t="shared" si="10"/>
        <v>Q2</v>
      </c>
      <c r="G121" s="13">
        <f t="shared" si="7"/>
        <v>8</v>
      </c>
      <c r="H121" s="12" t="s">
        <v>1987</v>
      </c>
      <c r="I121" s="1" t="s">
        <v>53</v>
      </c>
      <c r="J121" s="1" t="s">
        <v>19</v>
      </c>
      <c r="K121" s="1" t="s">
        <v>92</v>
      </c>
      <c r="L121" s="1" t="s">
        <v>272</v>
      </c>
      <c r="M121" s="10">
        <v>536.49</v>
      </c>
      <c r="N121" s="8">
        <v>5</v>
      </c>
      <c r="O121" s="6">
        <v>0.39</v>
      </c>
      <c r="P121" s="10">
        <v>284.04000000000002</v>
      </c>
      <c r="Q121" s="11">
        <f t="shared" si="8"/>
        <v>252.45</v>
      </c>
      <c r="R121" t="str">
        <f t="shared" si="11"/>
        <v>profit</v>
      </c>
    </row>
    <row r="122" spans="1:18" ht="15.75" customHeight="1" x14ac:dyDescent="0.4">
      <c r="A122" s="1" t="s">
        <v>273</v>
      </c>
      <c r="B122" s="2">
        <v>45568</v>
      </c>
      <c r="C122" s="2">
        <v>45572</v>
      </c>
      <c r="D122" s="2" t="str">
        <f t="shared" si="9"/>
        <v>2024</v>
      </c>
      <c r="E122" s="2" t="str">
        <f t="shared" si="6"/>
        <v>October</v>
      </c>
      <c r="F122" s="2" t="str">
        <f t="shared" si="10"/>
        <v>Q4</v>
      </c>
      <c r="G122" s="13">
        <f t="shared" si="7"/>
        <v>4</v>
      </c>
      <c r="H122" s="12" t="s">
        <v>1987</v>
      </c>
      <c r="I122" s="1" t="s">
        <v>18</v>
      </c>
      <c r="J122" s="1" t="s">
        <v>14</v>
      </c>
      <c r="K122" s="1" t="s">
        <v>15</v>
      </c>
      <c r="L122" s="1" t="s">
        <v>274</v>
      </c>
      <c r="M122" s="10">
        <v>466.71</v>
      </c>
      <c r="N122" s="8">
        <v>1</v>
      </c>
      <c r="O122" s="6">
        <v>0.03</v>
      </c>
      <c r="P122" s="10">
        <v>418.22</v>
      </c>
      <c r="Q122" s="11">
        <f t="shared" si="8"/>
        <v>48.489999999999952</v>
      </c>
      <c r="R122" t="str">
        <f t="shared" si="11"/>
        <v>profit</v>
      </c>
    </row>
    <row r="123" spans="1:18" ht="15.75" customHeight="1" x14ac:dyDescent="0.4">
      <c r="A123" s="1" t="s">
        <v>275</v>
      </c>
      <c r="B123" s="2">
        <v>45315</v>
      </c>
      <c r="C123" s="2">
        <v>45323</v>
      </c>
      <c r="D123" s="2" t="str">
        <f t="shared" si="9"/>
        <v>2024</v>
      </c>
      <c r="E123" s="2" t="str">
        <f t="shared" si="6"/>
        <v>February</v>
      </c>
      <c r="F123" s="2" t="str">
        <f t="shared" si="10"/>
        <v>Q1</v>
      </c>
      <c r="G123" s="13">
        <f t="shared" si="7"/>
        <v>8</v>
      </c>
      <c r="H123" s="12" t="s">
        <v>23</v>
      </c>
      <c r="I123" s="1" t="s">
        <v>13</v>
      </c>
      <c r="J123" s="1" t="s">
        <v>14</v>
      </c>
      <c r="K123" s="1" t="s">
        <v>54</v>
      </c>
      <c r="L123" s="1" t="s">
        <v>276</v>
      </c>
      <c r="M123" s="10">
        <v>685.11</v>
      </c>
      <c r="N123" s="8">
        <v>7</v>
      </c>
      <c r="O123" s="6">
        <v>0.28000000000000003</v>
      </c>
      <c r="P123" s="10">
        <v>454.8</v>
      </c>
      <c r="Q123" s="11">
        <f t="shared" si="8"/>
        <v>230.31</v>
      </c>
      <c r="R123" t="str">
        <f t="shared" si="11"/>
        <v>profit</v>
      </c>
    </row>
    <row r="124" spans="1:18" ht="15.75" customHeight="1" x14ac:dyDescent="0.4">
      <c r="A124" s="1" t="s">
        <v>277</v>
      </c>
      <c r="B124" s="2">
        <v>45099</v>
      </c>
      <c r="C124" s="2">
        <v>45102</v>
      </c>
      <c r="D124" s="2" t="str">
        <f t="shared" si="9"/>
        <v>2023</v>
      </c>
      <c r="E124" s="2" t="str">
        <f t="shared" si="6"/>
        <v>June</v>
      </c>
      <c r="F124" s="2" t="str">
        <f t="shared" si="10"/>
        <v>Q3</v>
      </c>
      <c r="G124" s="13">
        <f t="shared" si="7"/>
        <v>3</v>
      </c>
      <c r="H124" s="12" t="s">
        <v>42</v>
      </c>
      <c r="I124" s="1" t="s">
        <v>59</v>
      </c>
      <c r="J124" s="1" t="s">
        <v>19</v>
      </c>
      <c r="K124" s="1" t="s">
        <v>35</v>
      </c>
      <c r="L124" s="1" t="s">
        <v>278</v>
      </c>
      <c r="M124" s="10">
        <v>209.72</v>
      </c>
      <c r="N124" s="8">
        <v>7</v>
      </c>
      <c r="O124" s="6">
        <v>0.36</v>
      </c>
      <c r="P124" s="10">
        <v>112.06</v>
      </c>
      <c r="Q124" s="11">
        <f t="shared" si="8"/>
        <v>97.66</v>
      </c>
      <c r="R124" t="str">
        <f t="shared" si="11"/>
        <v>profit</v>
      </c>
    </row>
    <row r="125" spans="1:18" ht="15.75" customHeight="1" x14ac:dyDescent="0.4">
      <c r="A125" s="1" t="s">
        <v>279</v>
      </c>
      <c r="B125" s="2">
        <v>45216</v>
      </c>
      <c r="C125" s="2">
        <v>45219</v>
      </c>
      <c r="D125" s="2" t="str">
        <f t="shared" si="9"/>
        <v>2023</v>
      </c>
      <c r="E125" s="2" t="str">
        <f t="shared" si="6"/>
        <v>October</v>
      </c>
      <c r="F125" s="2" t="str">
        <f t="shared" si="10"/>
        <v>Q4</v>
      </c>
      <c r="G125" s="13">
        <f t="shared" si="7"/>
        <v>3</v>
      </c>
      <c r="H125" s="12" t="s">
        <v>1986</v>
      </c>
      <c r="I125" s="1" t="s">
        <v>29</v>
      </c>
      <c r="J125" s="1" t="s">
        <v>19</v>
      </c>
      <c r="K125" s="1" t="s">
        <v>20</v>
      </c>
      <c r="L125" s="1" t="s">
        <v>280</v>
      </c>
      <c r="M125" s="10">
        <v>672.58</v>
      </c>
      <c r="N125" s="8">
        <v>3</v>
      </c>
      <c r="O125" s="6">
        <v>0.03</v>
      </c>
      <c r="P125" s="10">
        <v>630.27</v>
      </c>
      <c r="Q125" s="11">
        <f t="shared" si="8"/>
        <v>42.310000000000059</v>
      </c>
      <c r="R125" t="str">
        <f t="shared" si="11"/>
        <v>profit</v>
      </c>
    </row>
    <row r="126" spans="1:18" ht="15.75" customHeight="1" x14ac:dyDescent="0.4">
      <c r="A126" s="1" t="s">
        <v>281</v>
      </c>
      <c r="B126" s="2">
        <v>45316</v>
      </c>
      <c r="C126" s="2">
        <v>45322</v>
      </c>
      <c r="D126" s="2" t="str">
        <f t="shared" si="9"/>
        <v>2024</v>
      </c>
      <c r="E126" s="2" t="str">
        <f t="shared" si="6"/>
        <v>January</v>
      </c>
      <c r="F126" s="2" t="str">
        <f t="shared" si="10"/>
        <v>Q1</v>
      </c>
      <c r="G126" s="13">
        <f t="shared" si="7"/>
        <v>6</v>
      </c>
      <c r="H126" s="12" t="s">
        <v>1987</v>
      </c>
      <c r="I126" s="1" t="s">
        <v>46</v>
      </c>
      <c r="J126" s="1" t="s">
        <v>19</v>
      </c>
      <c r="K126" s="1" t="s">
        <v>20</v>
      </c>
      <c r="L126" s="1" t="s">
        <v>282</v>
      </c>
      <c r="M126" s="10">
        <v>80.95</v>
      </c>
      <c r="N126" s="8">
        <v>7</v>
      </c>
      <c r="O126" s="6">
        <v>0.14000000000000001</v>
      </c>
      <c r="P126" s="10">
        <v>55.71</v>
      </c>
      <c r="Q126" s="11">
        <f t="shared" si="8"/>
        <v>25.240000000000002</v>
      </c>
      <c r="R126" t="str">
        <f t="shared" si="11"/>
        <v>profit</v>
      </c>
    </row>
    <row r="127" spans="1:18" ht="15.75" customHeight="1" x14ac:dyDescent="0.4">
      <c r="A127" s="3" t="s">
        <v>283</v>
      </c>
      <c r="B127" s="2">
        <v>45025</v>
      </c>
      <c r="C127" s="2">
        <v>45032</v>
      </c>
      <c r="D127" s="2" t="str">
        <f t="shared" si="9"/>
        <v>2023</v>
      </c>
      <c r="E127" s="2" t="str">
        <f t="shared" si="6"/>
        <v>April</v>
      </c>
      <c r="F127" s="2" t="str">
        <f t="shared" si="10"/>
        <v>Q2</v>
      </c>
      <c r="G127" s="13">
        <f t="shared" si="7"/>
        <v>7</v>
      </c>
      <c r="H127" s="12" t="s">
        <v>42</v>
      </c>
      <c r="I127" s="1" t="s">
        <v>29</v>
      </c>
      <c r="J127" s="1" t="s">
        <v>14</v>
      </c>
      <c r="K127" s="1" t="s">
        <v>15</v>
      </c>
      <c r="L127" s="1" t="s">
        <v>284</v>
      </c>
      <c r="M127" s="10">
        <v>744.4</v>
      </c>
      <c r="N127" s="8">
        <v>4</v>
      </c>
      <c r="O127" s="6">
        <v>7.0000000000000007E-2</v>
      </c>
      <c r="P127" s="10">
        <v>660.31</v>
      </c>
      <c r="Q127" s="11">
        <f t="shared" si="8"/>
        <v>84.090000000000032</v>
      </c>
      <c r="R127" t="str">
        <f t="shared" si="11"/>
        <v>profit</v>
      </c>
    </row>
    <row r="128" spans="1:18" ht="15.75" customHeight="1" x14ac:dyDescent="0.4">
      <c r="A128" s="1" t="s">
        <v>285</v>
      </c>
      <c r="B128" s="2">
        <v>45276</v>
      </c>
      <c r="C128" s="2">
        <v>45277</v>
      </c>
      <c r="D128" s="2" t="str">
        <f t="shared" si="9"/>
        <v>2023</v>
      </c>
      <c r="E128" s="2" t="str">
        <f t="shared" si="6"/>
        <v>December</v>
      </c>
      <c r="F128" s="2" t="str">
        <f t="shared" si="10"/>
        <v>Q4</v>
      </c>
      <c r="G128" s="13">
        <f t="shared" si="7"/>
        <v>1</v>
      </c>
      <c r="H128" s="12" t="s">
        <v>1987</v>
      </c>
      <c r="I128" s="1" t="s">
        <v>59</v>
      </c>
      <c r="J128" s="1" t="s">
        <v>14</v>
      </c>
      <c r="K128" s="1" t="s">
        <v>15</v>
      </c>
      <c r="L128" s="1" t="s">
        <v>286</v>
      </c>
      <c r="M128" s="10">
        <v>758.39</v>
      </c>
      <c r="N128" s="8">
        <v>10</v>
      </c>
      <c r="O128" s="6">
        <v>0.33</v>
      </c>
      <c r="P128" s="10">
        <v>479.25</v>
      </c>
      <c r="Q128" s="11">
        <f t="shared" si="8"/>
        <v>279.14</v>
      </c>
      <c r="R128" t="str">
        <f t="shared" si="11"/>
        <v>profit</v>
      </c>
    </row>
    <row r="129" spans="1:18" ht="15.75" customHeight="1" x14ac:dyDescent="0.4">
      <c r="A129" s="1" t="s">
        <v>287</v>
      </c>
      <c r="B129" s="2">
        <v>45454</v>
      </c>
      <c r="C129" s="2">
        <v>45463</v>
      </c>
      <c r="D129" s="2" t="str">
        <f t="shared" si="9"/>
        <v>2024</v>
      </c>
      <c r="E129" s="2" t="str">
        <f t="shared" si="6"/>
        <v>June</v>
      </c>
      <c r="F129" s="2" t="str">
        <f t="shared" si="10"/>
        <v>Q3</v>
      </c>
      <c r="G129" s="13">
        <f t="shared" si="7"/>
        <v>9</v>
      </c>
      <c r="H129" s="12" t="s">
        <v>42</v>
      </c>
      <c r="I129" s="1" t="s">
        <v>50</v>
      </c>
      <c r="J129" s="1" t="s">
        <v>19</v>
      </c>
      <c r="K129" s="1" t="s">
        <v>35</v>
      </c>
      <c r="L129" s="1" t="s">
        <v>288</v>
      </c>
      <c r="M129" s="10">
        <v>886.63</v>
      </c>
      <c r="N129" s="8">
        <v>3</v>
      </c>
      <c r="O129" s="6">
        <v>0.42</v>
      </c>
      <c r="P129" s="10">
        <v>479.79</v>
      </c>
      <c r="Q129" s="11">
        <f t="shared" si="8"/>
        <v>406.84</v>
      </c>
      <c r="R129" t="str">
        <f t="shared" si="11"/>
        <v>profit</v>
      </c>
    </row>
    <row r="130" spans="1:18" ht="15.75" customHeight="1" x14ac:dyDescent="0.4">
      <c r="A130" s="1" t="s">
        <v>289</v>
      </c>
      <c r="B130" s="2">
        <v>45262</v>
      </c>
      <c r="C130" s="2">
        <v>45267</v>
      </c>
      <c r="D130" s="2" t="str">
        <f t="shared" si="9"/>
        <v>2023</v>
      </c>
      <c r="E130" s="2" t="str">
        <f t="shared" ref="E130:E193" si="12">TEXT(C130, "MMMM")</f>
        <v>December</v>
      </c>
      <c r="F130" s="2" t="str">
        <f t="shared" si="10"/>
        <v>Q4</v>
      </c>
      <c r="G130" s="13">
        <f t="shared" ref="G130:G193" si="13">DATEDIF(B130,C130, "D")</f>
        <v>5</v>
      </c>
      <c r="H130" s="12" t="s">
        <v>23</v>
      </c>
      <c r="I130" s="1" t="s">
        <v>46</v>
      </c>
      <c r="J130" s="1" t="s">
        <v>19</v>
      </c>
      <c r="K130" s="1" t="s">
        <v>20</v>
      </c>
      <c r="L130" s="1" t="s">
        <v>290</v>
      </c>
      <c r="M130" s="10">
        <v>337.68</v>
      </c>
      <c r="N130" s="8">
        <v>2</v>
      </c>
      <c r="O130" s="6">
        <v>0.12</v>
      </c>
      <c r="P130" s="10">
        <v>267.58999999999997</v>
      </c>
      <c r="Q130" s="11">
        <f t="shared" ref="Q130:Q193" si="14">M130 - P130</f>
        <v>70.090000000000032</v>
      </c>
      <c r="R130" t="str">
        <f t="shared" si="11"/>
        <v>profit</v>
      </c>
    </row>
    <row r="131" spans="1:18" ht="15.75" customHeight="1" x14ac:dyDescent="0.4">
      <c r="A131" s="1" t="s">
        <v>291</v>
      </c>
      <c r="B131" s="2">
        <v>45422</v>
      </c>
      <c r="C131" s="2">
        <v>45424</v>
      </c>
      <c r="D131" s="2" t="str">
        <f t="shared" ref="D131:D194" si="15">IF(B131="","",TEXT(B131,"YYYY"))</f>
        <v>2024</v>
      </c>
      <c r="E131" s="2" t="str">
        <f t="shared" si="12"/>
        <v>May</v>
      </c>
      <c r="F131" s="2" t="str">
        <f t="shared" ref="F131:F194" si="16">IF(MONTH(C131)&lt;3,"Q1",IF(MONTH(C131)&lt;6,"Q2",IF(MONTH(C131)&lt;9,"Q3","Q4")))</f>
        <v>Q2</v>
      </c>
      <c r="G131" s="13">
        <f t="shared" si="13"/>
        <v>2</v>
      </c>
      <c r="H131" s="12" t="s">
        <v>23</v>
      </c>
      <c r="I131" s="1" t="s">
        <v>53</v>
      </c>
      <c r="J131" s="1" t="s">
        <v>25</v>
      </c>
      <c r="K131" s="1" t="s">
        <v>43</v>
      </c>
      <c r="L131" s="1" t="s">
        <v>44</v>
      </c>
      <c r="M131" s="10">
        <v>807.72</v>
      </c>
      <c r="N131" s="8">
        <v>3</v>
      </c>
      <c r="O131" s="6">
        <v>0.26</v>
      </c>
      <c r="P131" s="10">
        <v>583.67999999999995</v>
      </c>
      <c r="Q131" s="11">
        <f t="shared" si="14"/>
        <v>224.04000000000008</v>
      </c>
      <c r="R131" t="str">
        <f t="shared" si="11"/>
        <v>profit</v>
      </c>
    </row>
    <row r="132" spans="1:18" ht="15.75" customHeight="1" x14ac:dyDescent="0.4">
      <c r="A132" s="1" t="s">
        <v>292</v>
      </c>
      <c r="B132" s="2">
        <v>45514</v>
      </c>
      <c r="C132" s="2">
        <v>45516</v>
      </c>
      <c r="D132" s="2" t="str">
        <f t="shared" si="15"/>
        <v>2024</v>
      </c>
      <c r="E132" s="2" t="str">
        <f t="shared" si="12"/>
        <v>August</v>
      </c>
      <c r="F132" s="2" t="str">
        <f t="shared" si="16"/>
        <v>Q3</v>
      </c>
      <c r="G132" s="13">
        <f t="shared" si="13"/>
        <v>2</v>
      </c>
      <c r="H132" s="12" t="s">
        <v>1987</v>
      </c>
      <c r="I132" s="1" t="s">
        <v>24</v>
      </c>
      <c r="J132" s="1" t="s">
        <v>19</v>
      </c>
      <c r="K132" s="1" t="s">
        <v>20</v>
      </c>
      <c r="L132" s="1" t="s">
        <v>293</v>
      </c>
      <c r="M132" s="10">
        <v>178.02</v>
      </c>
      <c r="N132" s="8">
        <v>4</v>
      </c>
      <c r="O132" s="6">
        <v>0.03</v>
      </c>
      <c r="P132" s="10">
        <v>136.46</v>
      </c>
      <c r="Q132" s="11">
        <f t="shared" si="14"/>
        <v>41.56</v>
      </c>
      <c r="R132" t="str">
        <f t="shared" ref="R132:R195" si="17">IF(P132&gt;0,"profit","loss")</f>
        <v>profit</v>
      </c>
    </row>
    <row r="133" spans="1:18" ht="15.75" customHeight="1" x14ac:dyDescent="0.4">
      <c r="A133" s="1" t="s">
        <v>294</v>
      </c>
      <c r="B133" s="2">
        <v>44999</v>
      </c>
      <c r="C133" s="2">
        <v>45002</v>
      </c>
      <c r="D133" s="2" t="str">
        <f t="shared" si="15"/>
        <v>2023</v>
      </c>
      <c r="E133" s="2" t="str">
        <f t="shared" si="12"/>
        <v>March</v>
      </c>
      <c r="F133" s="2" t="str">
        <f t="shared" si="16"/>
        <v>Q2</v>
      </c>
      <c r="G133" s="13">
        <f t="shared" si="13"/>
        <v>3</v>
      </c>
      <c r="H133" s="12" t="s">
        <v>1986</v>
      </c>
      <c r="I133" s="1" t="s">
        <v>29</v>
      </c>
      <c r="J133" s="1" t="s">
        <v>25</v>
      </c>
      <c r="K133" s="1" t="s">
        <v>43</v>
      </c>
      <c r="L133" s="1" t="s">
        <v>295</v>
      </c>
      <c r="M133" s="10">
        <v>42.84</v>
      </c>
      <c r="N133" s="8">
        <v>10</v>
      </c>
      <c r="O133" s="6">
        <v>0.32</v>
      </c>
      <c r="P133" s="10">
        <v>-8.2100000000000009</v>
      </c>
      <c r="Q133" s="11">
        <f t="shared" si="14"/>
        <v>51.050000000000004</v>
      </c>
      <c r="R133" t="str">
        <f t="shared" si="17"/>
        <v>loss</v>
      </c>
    </row>
    <row r="134" spans="1:18" ht="15.75" customHeight="1" x14ac:dyDescent="0.4">
      <c r="A134" s="1" t="s">
        <v>296</v>
      </c>
      <c r="B134" s="2">
        <v>45270</v>
      </c>
      <c r="C134" s="2">
        <v>45270</v>
      </c>
      <c r="D134" s="2" t="str">
        <f t="shared" si="15"/>
        <v>2023</v>
      </c>
      <c r="E134" s="2" t="str">
        <f t="shared" si="12"/>
        <v>December</v>
      </c>
      <c r="F134" s="2" t="str">
        <f t="shared" si="16"/>
        <v>Q4</v>
      </c>
      <c r="G134" s="13">
        <f t="shared" si="13"/>
        <v>0</v>
      </c>
      <c r="H134" s="12" t="s">
        <v>23</v>
      </c>
      <c r="I134" s="1" t="s">
        <v>24</v>
      </c>
      <c r="J134" s="1" t="s">
        <v>19</v>
      </c>
      <c r="K134" s="1" t="s">
        <v>20</v>
      </c>
      <c r="L134" s="1" t="s">
        <v>297</v>
      </c>
      <c r="M134" s="10">
        <v>630.29</v>
      </c>
      <c r="N134" s="8">
        <v>8</v>
      </c>
      <c r="O134" s="6">
        <v>0.33</v>
      </c>
      <c r="P134" s="10">
        <v>378.98</v>
      </c>
      <c r="Q134" s="11">
        <f t="shared" si="14"/>
        <v>251.30999999999995</v>
      </c>
      <c r="R134" t="str">
        <f t="shared" si="17"/>
        <v>profit</v>
      </c>
    </row>
    <row r="135" spans="1:18" ht="15.75" customHeight="1" x14ac:dyDescent="0.4">
      <c r="A135" s="1" t="s">
        <v>298</v>
      </c>
      <c r="B135" s="2">
        <v>44968</v>
      </c>
      <c r="C135" s="2">
        <v>44973</v>
      </c>
      <c r="D135" s="2" t="str">
        <f t="shared" si="15"/>
        <v>2023</v>
      </c>
      <c r="E135" s="2" t="str">
        <f t="shared" si="12"/>
        <v>February</v>
      </c>
      <c r="F135" s="2" t="str">
        <f t="shared" si="16"/>
        <v>Q1</v>
      </c>
      <c r="G135" s="13">
        <f t="shared" si="13"/>
        <v>5</v>
      </c>
      <c r="H135" s="12" t="s">
        <v>23</v>
      </c>
      <c r="I135" s="1" t="s">
        <v>59</v>
      </c>
      <c r="J135" s="1" t="s">
        <v>25</v>
      </c>
      <c r="K135" s="1" t="s">
        <v>26</v>
      </c>
      <c r="L135" s="1" t="s">
        <v>299</v>
      </c>
      <c r="M135" s="10">
        <v>59.91</v>
      </c>
      <c r="N135" s="8">
        <v>9</v>
      </c>
      <c r="O135" s="6">
        <v>0.48</v>
      </c>
      <c r="P135" s="10">
        <v>-7.25</v>
      </c>
      <c r="Q135" s="11">
        <f t="shared" si="14"/>
        <v>67.16</v>
      </c>
      <c r="R135" t="str">
        <f t="shared" si="17"/>
        <v>loss</v>
      </c>
    </row>
    <row r="136" spans="1:18" ht="15.75" customHeight="1" x14ac:dyDescent="0.4">
      <c r="A136" s="1" t="s">
        <v>300</v>
      </c>
      <c r="B136" s="2">
        <v>45007</v>
      </c>
      <c r="C136" s="2">
        <v>45015</v>
      </c>
      <c r="D136" s="2" t="str">
        <f t="shared" si="15"/>
        <v>2023</v>
      </c>
      <c r="E136" s="2" t="str">
        <f t="shared" si="12"/>
        <v>March</v>
      </c>
      <c r="F136" s="2" t="str">
        <f t="shared" si="16"/>
        <v>Q2</v>
      </c>
      <c r="G136" s="13">
        <f t="shared" si="13"/>
        <v>8</v>
      </c>
      <c r="H136" s="12" t="s">
        <v>1987</v>
      </c>
      <c r="I136" s="1" t="s">
        <v>53</v>
      </c>
      <c r="J136" s="1" t="s">
        <v>19</v>
      </c>
      <c r="K136" s="1" t="s">
        <v>92</v>
      </c>
      <c r="L136" s="1" t="s">
        <v>301</v>
      </c>
      <c r="M136" s="10">
        <v>443.03</v>
      </c>
      <c r="N136" s="8">
        <v>6</v>
      </c>
      <c r="O136" s="6">
        <v>0.16</v>
      </c>
      <c r="P136" s="10">
        <v>333.16</v>
      </c>
      <c r="Q136" s="11">
        <f t="shared" si="14"/>
        <v>109.86999999999995</v>
      </c>
      <c r="R136" t="str">
        <f t="shared" si="17"/>
        <v>profit</v>
      </c>
    </row>
    <row r="137" spans="1:18" ht="15.75" customHeight="1" x14ac:dyDescent="0.4">
      <c r="A137" s="1" t="s">
        <v>302</v>
      </c>
      <c r="B137" s="2">
        <v>45233</v>
      </c>
      <c r="C137" s="2">
        <v>45237</v>
      </c>
      <c r="D137" s="2" t="str">
        <f t="shared" si="15"/>
        <v>2023</v>
      </c>
      <c r="E137" s="2" t="str">
        <f t="shared" si="12"/>
        <v>November</v>
      </c>
      <c r="F137" s="2" t="str">
        <f t="shared" si="16"/>
        <v>Q4</v>
      </c>
      <c r="G137" s="13">
        <f t="shared" si="13"/>
        <v>4</v>
      </c>
      <c r="H137" s="12" t="s">
        <v>42</v>
      </c>
      <c r="I137" s="1" t="s">
        <v>18</v>
      </c>
      <c r="J137" s="1" t="s">
        <v>14</v>
      </c>
      <c r="K137" s="1" t="s">
        <v>15</v>
      </c>
      <c r="L137" s="1" t="s">
        <v>303</v>
      </c>
      <c r="M137" s="10">
        <v>867.07</v>
      </c>
      <c r="N137" s="8">
        <v>10</v>
      </c>
      <c r="O137" s="6">
        <v>0.42</v>
      </c>
      <c r="P137" s="10">
        <v>478.96</v>
      </c>
      <c r="Q137" s="11">
        <f t="shared" si="14"/>
        <v>388.11000000000007</v>
      </c>
      <c r="R137" t="str">
        <f t="shared" si="17"/>
        <v>profit</v>
      </c>
    </row>
    <row r="138" spans="1:18" ht="15.75" customHeight="1" x14ac:dyDescent="0.4">
      <c r="A138" s="1" t="s">
        <v>306</v>
      </c>
      <c r="B138" s="2">
        <v>44955</v>
      </c>
      <c r="C138" s="2">
        <v>44959</v>
      </c>
      <c r="D138" s="2" t="str">
        <f t="shared" si="15"/>
        <v>2023</v>
      </c>
      <c r="E138" s="2" t="str">
        <f t="shared" si="12"/>
        <v>February</v>
      </c>
      <c r="F138" s="2" t="str">
        <f t="shared" si="16"/>
        <v>Q1</v>
      </c>
      <c r="G138" s="13">
        <f t="shared" si="13"/>
        <v>4</v>
      </c>
      <c r="H138" s="12" t="s">
        <v>42</v>
      </c>
      <c r="I138" s="1" t="s">
        <v>13</v>
      </c>
      <c r="J138" s="1" t="s">
        <v>14</v>
      </c>
      <c r="K138" s="1" t="s">
        <v>30</v>
      </c>
      <c r="L138" s="1" t="s">
        <v>307</v>
      </c>
      <c r="M138" s="10">
        <v>518.47</v>
      </c>
      <c r="N138" s="8">
        <v>3</v>
      </c>
      <c r="O138" s="6">
        <v>0.01</v>
      </c>
      <c r="P138" s="10">
        <v>494.95</v>
      </c>
      <c r="Q138" s="11">
        <f t="shared" si="14"/>
        <v>23.520000000000039</v>
      </c>
      <c r="R138" t="str">
        <f t="shared" si="17"/>
        <v>profit</v>
      </c>
    </row>
    <row r="139" spans="1:18" ht="15.75" customHeight="1" x14ac:dyDescent="0.4">
      <c r="A139" s="1" t="s">
        <v>308</v>
      </c>
      <c r="B139" s="2">
        <v>45437</v>
      </c>
      <c r="C139" s="2">
        <v>45437</v>
      </c>
      <c r="D139" s="2" t="str">
        <f t="shared" si="15"/>
        <v>2024</v>
      </c>
      <c r="E139" s="2" t="str">
        <f t="shared" si="12"/>
        <v>May</v>
      </c>
      <c r="F139" s="2" t="str">
        <f t="shared" si="16"/>
        <v>Q2</v>
      </c>
      <c r="G139" s="13">
        <f t="shared" si="13"/>
        <v>0</v>
      </c>
      <c r="H139" s="12" t="s">
        <v>42</v>
      </c>
      <c r="I139" s="1" t="s">
        <v>46</v>
      </c>
      <c r="J139" s="1" t="s">
        <v>25</v>
      </c>
      <c r="K139" s="1" t="s">
        <v>47</v>
      </c>
      <c r="L139" s="1" t="s">
        <v>309</v>
      </c>
      <c r="M139" s="10">
        <v>968.17</v>
      </c>
      <c r="N139" s="8">
        <v>10</v>
      </c>
      <c r="O139" s="6">
        <v>0.12</v>
      </c>
      <c r="P139" s="10">
        <v>827.69</v>
      </c>
      <c r="Q139" s="11">
        <f t="shared" si="14"/>
        <v>140.4799999999999</v>
      </c>
      <c r="R139" t="str">
        <f t="shared" si="17"/>
        <v>profit</v>
      </c>
    </row>
    <row r="140" spans="1:18" ht="15.75" customHeight="1" x14ac:dyDescent="0.4">
      <c r="A140" s="1" t="s">
        <v>310</v>
      </c>
      <c r="C140" s="2">
        <v>45014</v>
      </c>
      <c r="D140" s="2" t="str">
        <f t="shared" si="15"/>
        <v/>
      </c>
      <c r="E140" s="2" t="str">
        <f t="shared" si="12"/>
        <v>March</v>
      </c>
      <c r="F140" s="2" t="str">
        <f t="shared" si="16"/>
        <v>Q2</v>
      </c>
      <c r="G140" s="13">
        <f t="shared" si="13"/>
        <v>45014</v>
      </c>
      <c r="H140" s="12" t="s">
        <v>1988</v>
      </c>
      <c r="I140" s="1" t="s">
        <v>50</v>
      </c>
      <c r="J140" s="1" t="s">
        <v>25</v>
      </c>
      <c r="K140" s="1" t="s">
        <v>26</v>
      </c>
      <c r="L140" s="1" t="s">
        <v>311</v>
      </c>
      <c r="M140" s="11" t="s">
        <v>1989</v>
      </c>
      <c r="N140" s="8">
        <v>10</v>
      </c>
      <c r="O140" s="6">
        <v>0.36</v>
      </c>
      <c r="P140" s="10">
        <v>52.22</v>
      </c>
      <c r="Q140" s="11" t="e">
        <f t="shared" si="14"/>
        <v>#VALUE!</v>
      </c>
      <c r="R140" t="str">
        <f t="shared" si="17"/>
        <v>profit</v>
      </c>
    </row>
    <row r="141" spans="1:18" ht="15.75" customHeight="1" x14ac:dyDescent="0.4">
      <c r="A141" s="1" t="s">
        <v>312</v>
      </c>
      <c r="B141" s="2">
        <v>44932</v>
      </c>
      <c r="C141" s="2">
        <v>44937</v>
      </c>
      <c r="D141" s="2" t="str">
        <f t="shared" si="15"/>
        <v>2023</v>
      </c>
      <c r="E141" s="2" t="str">
        <f t="shared" si="12"/>
        <v>January</v>
      </c>
      <c r="F141" s="2" t="str">
        <f t="shared" si="16"/>
        <v>Q1</v>
      </c>
      <c r="G141" s="13">
        <f t="shared" si="13"/>
        <v>5</v>
      </c>
      <c r="H141" s="12" t="s">
        <v>42</v>
      </c>
      <c r="I141" s="1" t="s">
        <v>50</v>
      </c>
      <c r="J141" s="1" t="s">
        <v>19</v>
      </c>
      <c r="K141" s="1" t="s">
        <v>20</v>
      </c>
      <c r="L141" s="1" t="s">
        <v>313</v>
      </c>
      <c r="M141" s="10">
        <v>609.65</v>
      </c>
      <c r="N141" s="8">
        <v>6</v>
      </c>
      <c r="O141" s="6">
        <v>0.33</v>
      </c>
      <c r="P141" s="10">
        <v>382.92</v>
      </c>
      <c r="Q141" s="11">
        <f t="shared" si="14"/>
        <v>226.72999999999996</v>
      </c>
      <c r="R141" t="str">
        <f t="shared" si="17"/>
        <v>profit</v>
      </c>
    </row>
    <row r="142" spans="1:18" ht="15.75" customHeight="1" x14ac:dyDescent="0.4">
      <c r="A142" s="1" t="s">
        <v>314</v>
      </c>
      <c r="B142" s="2">
        <v>45235</v>
      </c>
      <c r="C142" s="2">
        <v>45241</v>
      </c>
      <c r="D142" s="2" t="str">
        <f t="shared" si="15"/>
        <v>2023</v>
      </c>
      <c r="E142" s="2" t="str">
        <f t="shared" si="12"/>
        <v>November</v>
      </c>
      <c r="F142" s="2" t="str">
        <f t="shared" si="16"/>
        <v>Q4</v>
      </c>
      <c r="G142" s="13">
        <f t="shared" si="13"/>
        <v>6</v>
      </c>
      <c r="H142" s="12" t="s">
        <v>23</v>
      </c>
      <c r="I142" s="1" t="s">
        <v>18</v>
      </c>
      <c r="J142" s="1" t="s">
        <v>14</v>
      </c>
      <c r="K142" s="1" t="s">
        <v>30</v>
      </c>
      <c r="L142" s="1" t="s">
        <v>315</v>
      </c>
      <c r="M142" s="10">
        <v>485.85</v>
      </c>
      <c r="N142" s="8">
        <v>6</v>
      </c>
      <c r="O142" s="6">
        <v>0.45</v>
      </c>
      <c r="P142" s="10">
        <v>233.64</v>
      </c>
      <c r="Q142" s="11">
        <f t="shared" si="14"/>
        <v>252.21000000000004</v>
      </c>
      <c r="R142" t="str">
        <f t="shared" si="17"/>
        <v>profit</v>
      </c>
    </row>
    <row r="143" spans="1:18" ht="15.75" customHeight="1" x14ac:dyDescent="0.4">
      <c r="A143" s="1" t="s">
        <v>316</v>
      </c>
      <c r="B143" s="2">
        <v>45133</v>
      </c>
      <c r="C143" s="2">
        <v>45139</v>
      </c>
      <c r="D143" s="2" t="str">
        <f t="shared" si="15"/>
        <v>2023</v>
      </c>
      <c r="E143" s="2" t="str">
        <f t="shared" si="12"/>
        <v>August</v>
      </c>
      <c r="F143" s="2" t="str">
        <f t="shared" si="16"/>
        <v>Q3</v>
      </c>
      <c r="G143" s="13">
        <f t="shared" si="13"/>
        <v>6</v>
      </c>
      <c r="H143" s="12" t="s">
        <v>42</v>
      </c>
      <c r="I143" s="1" t="s">
        <v>53</v>
      </c>
      <c r="J143" s="1" t="s">
        <v>14</v>
      </c>
      <c r="K143" s="1" t="s">
        <v>30</v>
      </c>
      <c r="L143" s="1" t="s">
        <v>317</v>
      </c>
      <c r="M143" s="10">
        <v>453.79</v>
      </c>
      <c r="N143" s="8">
        <v>7</v>
      </c>
      <c r="O143" s="6">
        <v>0.21</v>
      </c>
      <c r="P143" s="10">
        <v>308.95999999999998</v>
      </c>
      <c r="Q143" s="11">
        <f t="shared" si="14"/>
        <v>144.83000000000004</v>
      </c>
      <c r="R143" t="str">
        <f t="shared" si="17"/>
        <v>profit</v>
      </c>
    </row>
    <row r="144" spans="1:18" ht="15.75" customHeight="1" x14ac:dyDescent="0.4">
      <c r="A144" s="1" t="s">
        <v>318</v>
      </c>
      <c r="B144" s="2">
        <v>45123</v>
      </c>
      <c r="C144" s="2">
        <v>45123</v>
      </c>
      <c r="D144" s="2" t="str">
        <f t="shared" si="15"/>
        <v>2023</v>
      </c>
      <c r="E144" s="2" t="str">
        <f t="shared" si="12"/>
        <v>July</v>
      </c>
      <c r="F144" s="2" t="str">
        <f t="shared" si="16"/>
        <v>Q3</v>
      </c>
      <c r="G144" s="13">
        <f t="shared" si="13"/>
        <v>0</v>
      </c>
      <c r="H144" s="12" t="s">
        <v>23</v>
      </c>
      <c r="I144" s="1" t="s">
        <v>13</v>
      </c>
      <c r="J144" s="1" t="s">
        <v>14</v>
      </c>
      <c r="K144" s="1" t="s">
        <v>54</v>
      </c>
      <c r="L144" s="1" t="s">
        <v>319</v>
      </c>
      <c r="M144" s="10">
        <v>262.94</v>
      </c>
      <c r="N144" s="8">
        <v>3</v>
      </c>
      <c r="O144" s="6">
        <v>0.4</v>
      </c>
      <c r="P144" s="10">
        <v>128.62</v>
      </c>
      <c r="Q144" s="11">
        <f t="shared" si="14"/>
        <v>134.32</v>
      </c>
      <c r="R144" t="str">
        <f t="shared" si="17"/>
        <v>profit</v>
      </c>
    </row>
    <row r="145" spans="1:18" ht="15.75" customHeight="1" x14ac:dyDescent="0.4">
      <c r="A145" s="1" t="s">
        <v>320</v>
      </c>
      <c r="B145" s="2">
        <v>45611</v>
      </c>
      <c r="C145" s="2">
        <v>45612</v>
      </c>
      <c r="D145" s="2" t="str">
        <f t="shared" si="15"/>
        <v>2024</v>
      </c>
      <c r="E145" s="2" t="str">
        <f t="shared" si="12"/>
        <v>November</v>
      </c>
      <c r="F145" s="2" t="str">
        <f t="shared" si="16"/>
        <v>Q4</v>
      </c>
      <c r="G145" s="13">
        <f t="shared" si="13"/>
        <v>1</v>
      </c>
      <c r="H145" s="12" t="s">
        <v>42</v>
      </c>
      <c r="I145" s="1" t="s">
        <v>59</v>
      </c>
      <c r="J145" s="1" t="s">
        <v>19</v>
      </c>
      <c r="K145" s="1" t="s">
        <v>92</v>
      </c>
      <c r="L145" s="1" t="s">
        <v>321</v>
      </c>
      <c r="M145" s="10">
        <v>315.52999999999997</v>
      </c>
      <c r="N145" s="8">
        <v>8</v>
      </c>
      <c r="O145" s="6">
        <v>0.48</v>
      </c>
      <c r="P145" s="10">
        <v>120.79</v>
      </c>
      <c r="Q145" s="11">
        <f t="shared" si="14"/>
        <v>194.73999999999995</v>
      </c>
      <c r="R145" t="str">
        <f t="shared" si="17"/>
        <v>profit</v>
      </c>
    </row>
    <row r="146" spans="1:18" ht="15.75" customHeight="1" x14ac:dyDescent="0.4">
      <c r="A146" s="1" t="s">
        <v>322</v>
      </c>
      <c r="B146" s="2">
        <v>45468</v>
      </c>
      <c r="C146" s="2">
        <v>45477</v>
      </c>
      <c r="D146" s="2" t="str">
        <f t="shared" si="15"/>
        <v>2024</v>
      </c>
      <c r="E146" s="2" t="str">
        <f t="shared" si="12"/>
        <v>July</v>
      </c>
      <c r="F146" s="2" t="str">
        <f t="shared" si="16"/>
        <v>Q3</v>
      </c>
      <c r="G146" s="13">
        <f t="shared" si="13"/>
        <v>9</v>
      </c>
      <c r="H146" s="12" t="s">
        <v>42</v>
      </c>
      <c r="I146" s="1" t="s">
        <v>59</v>
      </c>
      <c r="J146" s="1" t="s">
        <v>19</v>
      </c>
      <c r="K146" s="1" t="s">
        <v>35</v>
      </c>
      <c r="L146" s="1" t="s">
        <v>323</v>
      </c>
      <c r="M146" s="10">
        <v>547.1</v>
      </c>
      <c r="N146" s="8">
        <v>2</v>
      </c>
      <c r="O146" s="6">
        <v>0.13</v>
      </c>
      <c r="P146" s="10">
        <v>456.91</v>
      </c>
      <c r="Q146" s="11">
        <f t="shared" si="14"/>
        <v>90.19</v>
      </c>
      <c r="R146" t="str">
        <f t="shared" si="17"/>
        <v>profit</v>
      </c>
    </row>
    <row r="147" spans="1:18" ht="15.75" customHeight="1" x14ac:dyDescent="0.4">
      <c r="A147" s="1" t="s">
        <v>324</v>
      </c>
      <c r="B147" s="2">
        <v>45611</v>
      </c>
      <c r="C147" s="2">
        <v>45618</v>
      </c>
      <c r="D147" s="2" t="str">
        <f t="shared" si="15"/>
        <v>2024</v>
      </c>
      <c r="E147" s="2" t="str">
        <f t="shared" si="12"/>
        <v>November</v>
      </c>
      <c r="F147" s="2" t="str">
        <f t="shared" si="16"/>
        <v>Q4</v>
      </c>
      <c r="G147" s="13">
        <f t="shared" si="13"/>
        <v>7</v>
      </c>
      <c r="H147" s="12" t="s">
        <v>1987</v>
      </c>
      <c r="I147" s="1" t="s">
        <v>24</v>
      </c>
      <c r="J147" s="1" t="s">
        <v>25</v>
      </c>
      <c r="K147" s="1" t="s">
        <v>26</v>
      </c>
      <c r="L147" s="1" t="s">
        <v>325</v>
      </c>
      <c r="M147" s="10">
        <v>508.47</v>
      </c>
      <c r="N147" s="8">
        <v>2</v>
      </c>
      <c r="O147" s="6">
        <v>0.09</v>
      </c>
      <c r="P147" s="10">
        <v>425.45</v>
      </c>
      <c r="Q147" s="11">
        <f t="shared" si="14"/>
        <v>83.020000000000039</v>
      </c>
      <c r="R147" t="str">
        <f t="shared" si="17"/>
        <v>profit</v>
      </c>
    </row>
    <row r="148" spans="1:18" ht="15.75" customHeight="1" x14ac:dyDescent="0.4">
      <c r="A148" s="1" t="s">
        <v>326</v>
      </c>
      <c r="B148" s="2">
        <v>45097</v>
      </c>
      <c r="C148" s="2">
        <v>45097</v>
      </c>
      <c r="D148" s="2" t="str">
        <f t="shared" si="15"/>
        <v>2023</v>
      </c>
      <c r="E148" s="2" t="str">
        <f t="shared" si="12"/>
        <v>June</v>
      </c>
      <c r="F148" s="2" t="str">
        <f t="shared" si="16"/>
        <v>Q3</v>
      </c>
      <c r="G148" s="13">
        <f t="shared" si="13"/>
        <v>0</v>
      </c>
      <c r="H148" s="12" t="s">
        <v>23</v>
      </c>
      <c r="I148" s="1" t="s">
        <v>18</v>
      </c>
      <c r="J148" s="1" t="s">
        <v>19</v>
      </c>
      <c r="K148" s="1" t="s">
        <v>35</v>
      </c>
      <c r="L148" s="1" t="s">
        <v>327</v>
      </c>
      <c r="M148" s="10">
        <v>697.91</v>
      </c>
      <c r="N148" s="8">
        <v>4</v>
      </c>
      <c r="O148" s="6">
        <v>0.02</v>
      </c>
      <c r="P148" s="10">
        <v>642.33000000000004</v>
      </c>
      <c r="Q148" s="11">
        <f t="shared" si="14"/>
        <v>55.579999999999927</v>
      </c>
      <c r="R148" t="str">
        <f t="shared" si="17"/>
        <v>profit</v>
      </c>
    </row>
    <row r="149" spans="1:18" ht="15.75" customHeight="1" x14ac:dyDescent="0.4">
      <c r="A149" s="1" t="s">
        <v>328</v>
      </c>
      <c r="B149" s="2">
        <v>45081</v>
      </c>
      <c r="C149" s="2">
        <v>45089</v>
      </c>
      <c r="D149" s="2" t="str">
        <f t="shared" si="15"/>
        <v>2023</v>
      </c>
      <c r="E149" s="2" t="str">
        <f t="shared" si="12"/>
        <v>June</v>
      </c>
      <c r="F149" s="2" t="str">
        <f t="shared" si="16"/>
        <v>Q3</v>
      </c>
      <c r="G149" s="13">
        <f t="shared" si="13"/>
        <v>8</v>
      </c>
      <c r="H149" s="12" t="s">
        <v>1987</v>
      </c>
      <c r="I149" s="1" t="s">
        <v>50</v>
      </c>
      <c r="J149" s="1" t="s">
        <v>19</v>
      </c>
      <c r="K149" s="1" t="s">
        <v>20</v>
      </c>
      <c r="L149" s="1" t="s">
        <v>329</v>
      </c>
      <c r="M149" s="10">
        <v>356.81</v>
      </c>
      <c r="N149" s="8">
        <v>8</v>
      </c>
      <c r="O149" s="6">
        <v>0.01</v>
      </c>
      <c r="P149" s="10">
        <v>303.61</v>
      </c>
      <c r="Q149" s="11">
        <f t="shared" si="14"/>
        <v>53.199999999999989</v>
      </c>
      <c r="R149" t="str">
        <f t="shared" si="17"/>
        <v>profit</v>
      </c>
    </row>
    <row r="150" spans="1:18" ht="15.75" customHeight="1" x14ac:dyDescent="0.4">
      <c r="A150" s="1" t="s">
        <v>330</v>
      </c>
      <c r="B150" s="2">
        <v>45212</v>
      </c>
      <c r="C150" s="2">
        <v>45215</v>
      </c>
      <c r="D150" s="2" t="str">
        <f t="shared" si="15"/>
        <v>2023</v>
      </c>
      <c r="E150" s="2" t="str">
        <f t="shared" si="12"/>
        <v>October</v>
      </c>
      <c r="F150" s="2" t="str">
        <f t="shared" si="16"/>
        <v>Q4</v>
      </c>
      <c r="G150" s="13">
        <f t="shared" si="13"/>
        <v>3</v>
      </c>
      <c r="H150" s="12" t="s">
        <v>23</v>
      </c>
      <c r="I150" s="1" t="s">
        <v>59</v>
      </c>
      <c r="J150" s="1" t="s">
        <v>25</v>
      </c>
      <c r="K150" s="1" t="s">
        <v>26</v>
      </c>
      <c r="L150" s="1" t="s">
        <v>331</v>
      </c>
      <c r="M150" s="10">
        <v>762.55</v>
      </c>
      <c r="N150" s="8">
        <v>7</v>
      </c>
      <c r="O150" s="6">
        <v>0.4</v>
      </c>
      <c r="P150" s="10">
        <v>432.71</v>
      </c>
      <c r="Q150" s="11">
        <f t="shared" si="14"/>
        <v>329.84</v>
      </c>
      <c r="R150" t="str">
        <f t="shared" si="17"/>
        <v>profit</v>
      </c>
    </row>
    <row r="151" spans="1:18" ht="15.75" customHeight="1" x14ac:dyDescent="0.4">
      <c r="A151" s="1" t="s">
        <v>332</v>
      </c>
      <c r="B151" s="2">
        <v>45627</v>
      </c>
      <c r="C151" s="2">
        <v>45633</v>
      </c>
      <c r="D151" s="2" t="str">
        <f t="shared" si="15"/>
        <v>2024</v>
      </c>
      <c r="E151" s="2" t="str">
        <f t="shared" si="12"/>
        <v>December</v>
      </c>
      <c r="F151" s="2" t="str">
        <f t="shared" si="16"/>
        <v>Q4</v>
      </c>
      <c r="G151" s="13">
        <f t="shared" si="13"/>
        <v>6</v>
      </c>
      <c r="H151" s="12" t="s">
        <v>23</v>
      </c>
      <c r="I151" s="1" t="s">
        <v>24</v>
      </c>
      <c r="J151" s="1" t="s">
        <v>19</v>
      </c>
      <c r="K151" s="1" t="s">
        <v>20</v>
      </c>
      <c r="L151" s="1" t="s">
        <v>333</v>
      </c>
      <c r="M151" s="10">
        <v>489.79</v>
      </c>
      <c r="N151" s="8">
        <v>4</v>
      </c>
      <c r="O151" s="6">
        <v>0.4</v>
      </c>
      <c r="P151" s="10">
        <v>272.74</v>
      </c>
      <c r="Q151" s="11">
        <f t="shared" si="14"/>
        <v>217.05</v>
      </c>
      <c r="R151" t="str">
        <f t="shared" si="17"/>
        <v>profit</v>
      </c>
    </row>
    <row r="152" spans="1:18" ht="15.75" customHeight="1" x14ac:dyDescent="0.4">
      <c r="A152" s="1" t="s">
        <v>334</v>
      </c>
      <c r="B152" s="2">
        <v>45323</v>
      </c>
      <c r="C152" s="2">
        <v>45327</v>
      </c>
      <c r="D152" s="2" t="str">
        <f t="shared" si="15"/>
        <v>2024</v>
      </c>
      <c r="E152" s="2" t="str">
        <f t="shared" si="12"/>
        <v>February</v>
      </c>
      <c r="F152" s="2" t="str">
        <f t="shared" si="16"/>
        <v>Q1</v>
      </c>
      <c r="G152" s="13">
        <f t="shared" si="13"/>
        <v>4</v>
      </c>
      <c r="H152" s="12" t="s">
        <v>1986</v>
      </c>
      <c r="I152" s="1" t="s">
        <v>46</v>
      </c>
      <c r="J152" s="1" t="s">
        <v>25</v>
      </c>
      <c r="K152" s="1" t="s">
        <v>47</v>
      </c>
      <c r="L152" s="1" t="s">
        <v>335</v>
      </c>
      <c r="M152" s="10">
        <v>43.47</v>
      </c>
      <c r="N152" s="8">
        <v>9</v>
      </c>
      <c r="O152" s="6">
        <v>0.32</v>
      </c>
      <c r="P152" s="10">
        <v>13.11</v>
      </c>
      <c r="Q152" s="11">
        <f t="shared" si="14"/>
        <v>30.36</v>
      </c>
      <c r="R152" t="str">
        <f t="shared" si="17"/>
        <v>profit</v>
      </c>
    </row>
    <row r="153" spans="1:18" ht="15.75" customHeight="1" x14ac:dyDescent="0.4">
      <c r="A153" s="1" t="s">
        <v>336</v>
      </c>
      <c r="B153" s="2">
        <v>45097</v>
      </c>
      <c r="C153" s="2">
        <v>45105</v>
      </c>
      <c r="D153" s="2" t="str">
        <f t="shared" si="15"/>
        <v>2023</v>
      </c>
      <c r="E153" s="2" t="str">
        <f t="shared" si="12"/>
        <v>June</v>
      </c>
      <c r="F153" s="2" t="str">
        <f t="shared" si="16"/>
        <v>Q3</v>
      </c>
      <c r="G153" s="13">
        <f t="shared" si="13"/>
        <v>8</v>
      </c>
      <c r="H153" s="12" t="s">
        <v>42</v>
      </c>
      <c r="I153" s="1" t="s">
        <v>24</v>
      </c>
      <c r="J153" s="1" t="s">
        <v>19</v>
      </c>
      <c r="K153" s="1" t="s">
        <v>35</v>
      </c>
      <c r="L153" s="1" t="s">
        <v>337</v>
      </c>
      <c r="M153" s="10">
        <v>43.34</v>
      </c>
      <c r="N153" s="8">
        <v>1</v>
      </c>
      <c r="O153" s="6">
        <v>0.31</v>
      </c>
      <c r="P153" s="10">
        <v>7.49</v>
      </c>
      <c r="Q153" s="11">
        <f t="shared" si="14"/>
        <v>35.85</v>
      </c>
      <c r="R153" t="str">
        <f t="shared" si="17"/>
        <v>profit</v>
      </c>
    </row>
    <row r="154" spans="1:18" ht="15.75" customHeight="1" x14ac:dyDescent="0.4">
      <c r="A154" s="1" t="s">
        <v>338</v>
      </c>
      <c r="B154" s="2">
        <v>45602</v>
      </c>
      <c r="C154" s="2">
        <v>45604</v>
      </c>
      <c r="D154" s="2" t="str">
        <f t="shared" si="15"/>
        <v>2024</v>
      </c>
      <c r="E154" s="2" t="str">
        <f t="shared" si="12"/>
        <v>November</v>
      </c>
      <c r="F154" s="2" t="str">
        <f t="shared" si="16"/>
        <v>Q4</v>
      </c>
      <c r="G154" s="13">
        <f t="shared" si="13"/>
        <v>2</v>
      </c>
      <c r="H154" s="12" t="s">
        <v>1986</v>
      </c>
      <c r="I154" s="1" t="s">
        <v>50</v>
      </c>
      <c r="J154" s="1" t="s">
        <v>25</v>
      </c>
      <c r="K154" s="1" t="s">
        <v>26</v>
      </c>
      <c r="L154" s="1" t="s">
        <v>339</v>
      </c>
      <c r="M154" s="10">
        <v>116.79</v>
      </c>
      <c r="N154" s="8">
        <v>1</v>
      </c>
      <c r="O154" s="6">
        <v>0.49</v>
      </c>
      <c r="P154" s="10">
        <v>34.909999999999997</v>
      </c>
      <c r="Q154" s="11">
        <f t="shared" si="14"/>
        <v>81.88000000000001</v>
      </c>
      <c r="R154" t="str">
        <f t="shared" si="17"/>
        <v>profit</v>
      </c>
    </row>
    <row r="155" spans="1:18" ht="15.75" customHeight="1" x14ac:dyDescent="0.4">
      <c r="A155" s="1" t="s">
        <v>340</v>
      </c>
      <c r="B155" s="2">
        <v>45261</v>
      </c>
      <c r="C155" s="2">
        <v>45269</v>
      </c>
      <c r="D155" s="2" t="str">
        <f t="shared" si="15"/>
        <v>2023</v>
      </c>
      <c r="E155" s="2" t="str">
        <f t="shared" si="12"/>
        <v>December</v>
      </c>
      <c r="F155" s="2" t="str">
        <f t="shared" si="16"/>
        <v>Q4</v>
      </c>
      <c r="G155" s="13">
        <f t="shared" si="13"/>
        <v>8</v>
      </c>
      <c r="H155" s="12" t="s">
        <v>23</v>
      </c>
      <c r="I155" s="1" t="s">
        <v>46</v>
      </c>
      <c r="J155" s="1" t="s">
        <v>25</v>
      </c>
      <c r="K155" s="1" t="s">
        <v>26</v>
      </c>
      <c r="L155" s="1" t="s">
        <v>341</v>
      </c>
      <c r="M155" s="10">
        <v>341.75</v>
      </c>
      <c r="N155" s="8">
        <v>8</v>
      </c>
      <c r="O155" s="6">
        <v>0.26</v>
      </c>
      <c r="P155" s="10">
        <v>221.06</v>
      </c>
      <c r="Q155" s="11">
        <f t="shared" si="14"/>
        <v>120.69</v>
      </c>
      <c r="R155" t="str">
        <f t="shared" si="17"/>
        <v>profit</v>
      </c>
    </row>
    <row r="156" spans="1:18" ht="15.75" customHeight="1" x14ac:dyDescent="0.4">
      <c r="A156" s="1" t="s">
        <v>342</v>
      </c>
      <c r="B156" s="2">
        <v>44952</v>
      </c>
      <c r="C156" s="2">
        <v>44959</v>
      </c>
      <c r="D156" s="2" t="str">
        <f t="shared" si="15"/>
        <v>2023</v>
      </c>
      <c r="E156" s="2" t="str">
        <f t="shared" si="12"/>
        <v>February</v>
      </c>
      <c r="F156" s="2" t="str">
        <f t="shared" si="16"/>
        <v>Q1</v>
      </c>
      <c r="G156" s="13">
        <f t="shared" si="13"/>
        <v>7</v>
      </c>
      <c r="H156" s="12" t="s">
        <v>23</v>
      </c>
      <c r="I156" s="1" t="s">
        <v>59</v>
      </c>
      <c r="J156" s="1" t="s">
        <v>19</v>
      </c>
      <c r="K156" s="1" t="s">
        <v>20</v>
      </c>
      <c r="L156" s="1" t="s">
        <v>343</v>
      </c>
      <c r="M156" s="10">
        <v>723.89</v>
      </c>
      <c r="N156" s="8">
        <v>5</v>
      </c>
      <c r="O156" s="6">
        <v>0.37</v>
      </c>
      <c r="P156" s="10">
        <v>442.39</v>
      </c>
      <c r="Q156" s="11">
        <f t="shared" si="14"/>
        <v>281.5</v>
      </c>
      <c r="R156" t="str">
        <f t="shared" si="17"/>
        <v>profit</v>
      </c>
    </row>
    <row r="157" spans="1:18" ht="15.75" customHeight="1" x14ac:dyDescent="0.4">
      <c r="A157" s="1" t="s">
        <v>344</v>
      </c>
      <c r="B157" s="2">
        <v>45114</v>
      </c>
      <c r="C157" s="2">
        <v>45122</v>
      </c>
      <c r="D157" s="2" t="str">
        <f t="shared" si="15"/>
        <v>2023</v>
      </c>
      <c r="E157" s="2" t="str">
        <f t="shared" si="12"/>
        <v>July</v>
      </c>
      <c r="F157" s="2" t="str">
        <f t="shared" si="16"/>
        <v>Q3</v>
      </c>
      <c r="G157" s="13">
        <f t="shared" si="13"/>
        <v>8</v>
      </c>
      <c r="H157" s="12" t="s">
        <v>1986</v>
      </c>
      <c r="I157" s="1" t="s">
        <v>50</v>
      </c>
      <c r="J157" s="1" t="s">
        <v>25</v>
      </c>
      <c r="K157" s="1" t="s">
        <v>26</v>
      </c>
      <c r="L157" s="1" t="s">
        <v>345</v>
      </c>
      <c r="M157" s="10">
        <v>180.96</v>
      </c>
      <c r="N157" s="8">
        <v>9</v>
      </c>
      <c r="O157" s="6">
        <v>0.27</v>
      </c>
      <c r="P157" s="10">
        <v>89.8</v>
      </c>
      <c r="Q157" s="11">
        <f t="shared" si="14"/>
        <v>91.160000000000011</v>
      </c>
      <c r="R157" t="str">
        <f t="shared" si="17"/>
        <v>profit</v>
      </c>
    </row>
    <row r="158" spans="1:18" ht="15.75" customHeight="1" x14ac:dyDescent="0.4">
      <c r="A158" s="1" t="s">
        <v>346</v>
      </c>
      <c r="B158" s="2">
        <v>45390</v>
      </c>
      <c r="C158" s="2">
        <v>45398</v>
      </c>
      <c r="D158" s="2" t="str">
        <f t="shared" si="15"/>
        <v>2024</v>
      </c>
      <c r="E158" s="2" t="str">
        <f t="shared" si="12"/>
        <v>April</v>
      </c>
      <c r="F158" s="2" t="str">
        <f t="shared" si="16"/>
        <v>Q2</v>
      </c>
      <c r="G158" s="13">
        <f t="shared" si="13"/>
        <v>8</v>
      </c>
      <c r="H158" s="12" t="s">
        <v>23</v>
      </c>
      <c r="I158" s="1" t="s">
        <v>29</v>
      </c>
      <c r="J158" s="1" t="s">
        <v>25</v>
      </c>
      <c r="K158" s="1" t="s">
        <v>43</v>
      </c>
      <c r="L158" s="1" t="s">
        <v>347</v>
      </c>
      <c r="M158" s="10">
        <v>568</v>
      </c>
      <c r="N158" s="8">
        <v>10</v>
      </c>
      <c r="O158" s="6">
        <v>0.25</v>
      </c>
      <c r="P158" s="10">
        <v>389.46</v>
      </c>
      <c r="Q158" s="11">
        <f t="shared" si="14"/>
        <v>178.54000000000002</v>
      </c>
      <c r="R158" t="str">
        <f t="shared" si="17"/>
        <v>profit</v>
      </c>
    </row>
    <row r="159" spans="1:18" ht="15.75" customHeight="1" x14ac:dyDescent="0.4">
      <c r="A159" s="1" t="s">
        <v>348</v>
      </c>
      <c r="B159" s="2">
        <v>45356</v>
      </c>
      <c r="C159" s="2">
        <v>45358</v>
      </c>
      <c r="D159" s="2" t="str">
        <f t="shared" si="15"/>
        <v>2024</v>
      </c>
      <c r="E159" s="2" t="str">
        <f t="shared" si="12"/>
        <v>March</v>
      </c>
      <c r="F159" s="2" t="str">
        <f t="shared" si="16"/>
        <v>Q2</v>
      </c>
      <c r="G159" s="13">
        <f t="shared" si="13"/>
        <v>2</v>
      </c>
      <c r="H159" s="12" t="s">
        <v>42</v>
      </c>
      <c r="I159" s="1" t="s">
        <v>13</v>
      </c>
      <c r="J159" s="1" t="s">
        <v>25</v>
      </c>
      <c r="K159" s="1" t="s">
        <v>43</v>
      </c>
      <c r="L159" s="1" t="s">
        <v>349</v>
      </c>
      <c r="M159" s="10">
        <v>605.52</v>
      </c>
      <c r="N159" s="8">
        <v>4</v>
      </c>
      <c r="O159" s="6">
        <v>0.49</v>
      </c>
      <c r="P159" s="10">
        <v>297.39999999999998</v>
      </c>
      <c r="Q159" s="11">
        <f t="shared" si="14"/>
        <v>308.12</v>
      </c>
      <c r="R159" t="str">
        <f t="shared" si="17"/>
        <v>profit</v>
      </c>
    </row>
    <row r="160" spans="1:18" ht="15.75" customHeight="1" x14ac:dyDescent="0.4">
      <c r="A160" s="1" t="s">
        <v>350</v>
      </c>
      <c r="B160" s="2">
        <v>45337</v>
      </c>
      <c r="C160" s="2">
        <v>45344</v>
      </c>
      <c r="D160" s="2" t="str">
        <f t="shared" si="15"/>
        <v>2024</v>
      </c>
      <c r="E160" s="2" t="str">
        <f t="shared" si="12"/>
        <v>February</v>
      </c>
      <c r="F160" s="2" t="str">
        <f t="shared" si="16"/>
        <v>Q1</v>
      </c>
      <c r="G160" s="13">
        <f t="shared" si="13"/>
        <v>7</v>
      </c>
      <c r="H160" s="12" t="s">
        <v>23</v>
      </c>
      <c r="I160" s="1" t="s">
        <v>46</v>
      </c>
      <c r="J160" s="1" t="s">
        <v>14</v>
      </c>
      <c r="K160" s="1" t="s">
        <v>30</v>
      </c>
      <c r="L160" s="1" t="s">
        <v>351</v>
      </c>
      <c r="M160" s="10">
        <v>333.13</v>
      </c>
      <c r="N160" s="8">
        <v>5</v>
      </c>
      <c r="O160" s="6">
        <v>0.44</v>
      </c>
      <c r="P160" s="10">
        <v>143.55000000000001</v>
      </c>
      <c r="Q160" s="11">
        <f t="shared" si="14"/>
        <v>189.57999999999998</v>
      </c>
      <c r="R160" t="str">
        <f t="shared" si="17"/>
        <v>profit</v>
      </c>
    </row>
    <row r="161" spans="1:18" ht="15.75" customHeight="1" x14ac:dyDescent="0.4">
      <c r="A161" s="1" t="s">
        <v>352</v>
      </c>
      <c r="B161" s="2">
        <v>45022</v>
      </c>
      <c r="C161" s="2">
        <v>45030</v>
      </c>
      <c r="D161" s="2" t="str">
        <f t="shared" si="15"/>
        <v>2023</v>
      </c>
      <c r="E161" s="2" t="str">
        <f t="shared" si="12"/>
        <v>April</v>
      </c>
      <c r="F161" s="2" t="str">
        <f t="shared" si="16"/>
        <v>Q2</v>
      </c>
      <c r="G161" s="13">
        <f t="shared" si="13"/>
        <v>8</v>
      </c>
      <c r="H161" s="12" t="s">
        <v>42</v>
      </c>
      <c r="I161" s="1" t="s">
        <v>13</v>
      </c>
      <c r="J161" s="1" t="s">
        <v>25</v>
      </c>
      <c r="K161" s="1" t="s">
        <v>26</v>
      </c>
      <c r="L161" s="1" t="s">
        <v>353</v>
      </c>
      <c r="M161" s="10">
        <v>226.41</v>
      </c>
      <c r="N161" s="8">
        <v>4</v>
      </c>
      <c r="O161" s="6">
        <v>0.06</v>
      </c>
      <c r="P161" s="10">
        <v>168.11</v>
      </c>
      <c r="Q161" s="11">
        <f t="shared" si="14"/>
        <v>58.299999999999983</v>
      </c>
      <c r="R161" t="str">
        <f t="shared" si="17"/>
        <v>profit</v>
      </c>
    </row>
    <row r="162" spans="1:18" ht="15.75" customHeight="1" x14ac:dyDescent="0.4">
      <c r="A162" s="1" t="s">
        <v>354</v>
      </c>
      <c r="B162" s="2">
        <v>45008</v>
      </c>
      <c r="C162" s="2">
        <v>45010</v>
      </c>
      <c r="D162" s="2" t="str">
        <f t="shared" si="15"/>
        <v>2023</v>
      </c>
      <c r="E162" s="2" t="str">
        <f t="shared" si="12"/>
        <v>March</v>
      </c>
      <c r="F162" s="2" t="str">
        <f t="shared" si="16"/>
        <v>Q2</v>
      </c>
      <c r="G162" s="13">
        <f t="shared" si="13"/>
        <v>2</v>
      </c>
      <c r="H162" s="12" t="s">
        <v>1986</v>
      </c>
      <c r="I162" s="1" t="s">
        <v>18</v>
      </c>
      <c r="J162" s="1" t="s">
        <v>14</v>
      </c>
      <c r="K162" s="1" t="s">
        <v>15</v>
      </c>
      <c r="L162" s="1" t="s">
        <v>355</v>
      </c>
      <c r="M162" s="10">
        <v>496.76</v>
      </c>
      <c r="N162" s="8">
        <v>4</v>
      </c>
      <c r="O162" s="6">
        <v>0.2</v>
      </c>
      <c r="P162" s="10">
        <v>350.29</v>
      </c>
      <c r="Q162" s="11">
        <f t="shared" si="14"/>
        <v>146.46999999999997</v>
      </c>
      <c r="R162" t="str">
        <f t="shared" si="17"/>
        <v>profit</v>
      </c>
    </row>
    <row r="163" spans="1:18" ht="15.75" customHeight="1" x14ac:dyDescent="0.4">
      <c r="A163" s="1" t="s">
        <v>356</v>
      </c>
      <c r="B163" s="2">
        <v>45001</v>
      </c>
      <c r="C163" s="2">
        <v>45006</v>
      </c>
      <c r="D163" s="2" t="str">
        <f t="shared" si="15"/>
        <v>2023</v>
      </c>
      <c r="E163" s="2" t="str">
        <f t="shared" si="12"/>
        <v>March</v>
      </c>
      <c r="F163" s="2" t="str">
        <f t="shared" si="16"/>
        <v>Q2</v>
      </c>
      <c r="G163" s="13">
        <f t="shared" si="13"/>
        <v>5</v>
      </c>
      <c r="H163" s="12" t="s">
        <v>1986</v>
      </c>
      <c r="I163" s="1" t="s">
        <v>50</v>
      </c>
      <c r="J163" s="1" t="s">
        <v>19</v>
      </c>
      <c r="K163" s="1" t="s">
        <v>92</v>
      </c>
      <c r="L163" s="1" t="s">
        <v>357</v>
      </c>
      <c r="M163" s="10">
        <v>564.08000000000004</v>
      </c>
      <c r="N163" s="8">
        <v>1</v>
      </c>
      <c r="O163" s="6">
        <v>0.49</v>
      </c>
      <c r="P163" s="10">
        <v>273.02999999999997</v>
      </c>
      <c r="Q163" s="11">
        <f t="shared" si="14"/>
        <v>291.05000000000007</v>
      </c>
      <c r="R163" t="str">
        <f t="shared" si="17"/>
        <v>profit</v>
      </c>
    </row>
    <row r="164" spans="1:18" ht="15.75" customHeight="1" x14ac:dyDescent="0.4">
      <c r="A164" s="1" t="s">
        <v>358</v>
      </c>
      <c r="B164" s="2">
        <v>45411</v>
      </c>
      <c r="C164" s="2">
        <v>45417</v>
      </c>
      <c r="D164" s="2" t="str">
        <f t="shared" si="15"/>
        <v>2024</v>
      </c>
      <c r="E164" s="2" t="str">
        <f t="shared" si="12"/>
        <v>May</v>
      </c>
      <c r="F164" s="2" t="str">
        <f t="shared" si="16"/>
        <v>Q2</v>
      </c>
      <c r="G164" s="13">
        <f t="shared" si="13"/>
        <v>6</v>
      </c>
      <c r="H164" s="12" t="s">
        <v>1986</v>
      </c>
      <c r="I164" s="1" t="s">
        <v>53</v>
      </c>
      <c r="J164" s="1" t="s">
        <v>25</v>
      </c>
      <c r="K164" s="1" t="s">
        <v>47</v>
      </c>
      <c r="L164" s="1" t="s">
        <v>359</v>
      </c>
      <c r="M164" s="10">
        <v>556.70000000000005</v>
      </c>
      <c r="N164" s="8">
        <v>9</v>
      </c>
      <c r="O164" s="6">
        <v>0.2</v>
      </c>
      <c r="P164" s="10">
        <v>404.4</v>
      </c>
      <c r="Q164" s="11">
        <f t="shared" si="14"/>
        <v>152.30000000000007</v>
      </c>
      <c r="R164" t="str">
        <f t="shared" si="17"/>
        <v>profit</v>
      </c>
    </row>
    <row r="165" spans="1:18" ht="15.75" customHeight="1" x14ac:dyDescent="0.4">
      <c r="A165" s="1" t="s">
        <v>360</v>
      </c>
      <c r="B165" s="2">
        <v>45550</v>
      </c>
      <c r="C165" s="2">
        <v>45556</v>
      </c>
      <c r="D165" s="2" t="str">
        <f t="shared" si="15"/>
        <v>2024</v>
      </c>
      <c r="E165" s="2" t="str">
        <f t="shared" si="12"/>
        <v>September</v>
      </c>
      <c r="F165" s="2" t="str">
        <f t="shared" si="16"/>
        <v>Q4</v>
      </c>
      <c r="G165" s="13">
        <f t="shared" si="13"/>
        <v>6</v>
      </c>
      <c r="H165" s="12" t="s">
        <v>1987</v>
      </c>
      <c r="I165" s="1" t="s">
        <v>59</v>
      </c>
      <c r="J165" s="1" t="s">
        <v>14</v>
      </c>
      <c r="K165" s="1" t="s">
        <v>30</v>
      </c>
      <c r="L165" s="1" t="s">
        <v>361</v>
      </c>
      <c r="M165" s="10">
        <v>141.97999999999999</v>
      </c>
      <c r="N165" s="8">
        <v>7</v>
      </c>
      <c r="O165" s="6">
        <v>0.23</v>
      </c>
      <c r="P165" s="10">
        <v>86.19</v>
      </c>
      <c r="Q165" s="11">
        <f t="shared" si="14"/>
        <v>55.789999999999992</v>
      </c>
      <c r="R165" t="str">
        <f t="shared" si="17"/>
        <v>profit</v>
      </c>
    </row>
    <row r="166" spans="1:18" ht="15.75" customHeight="1" x14ac:dyDescent="0.4">
      <c r="A166" s="1" t="s">
        <v>362</v>
      </c>
      <c r="B166" s="2">
        <v>45123</v>
      </c>
      <c r="C166" s="2">
        <v>45124</v>
      </c>
      <c r="D166" s="2" t="str">
        <f t="shared" si="15"/>
        <v>2023</v>
      </c>
      <c r="E166" s="2" t="str">
        <f t="shared" si="12"/>
        <v>July</v>
      </c>
      <c r="F166" s="2" t="str">
        <f t="shared" si="16"/>
        <v>Q3</v>
      </c>
      <c r="G166" s="13">
        <f t="shared" si="13"/>
        <v>1</v>
      </c>
      <c r="H166" s="12" t="s">
        <v>23</v>
      </c>
      <c r="I166" s="1" t="s">
        <v>53</v>
      </c>
      <c r="J166" s="1" t="s">
        <v>14</v>
      </c>
      <c r="K166" s="1" t="s">
        <v>54</v>
      </c>
      <c r="L166" s="1" t="s">
        <v>363</v>
      </c>
      <c r="M166" s="10">
        <v>674.44</v>
      </c>
      <c r="N166" s="8">
        <v>10</v>
      </c>
      <c r="O166" s="6">
        <v>0.49</v>
      </c>
      <c r="P166" s="10">
        <v>313.66000000000003</v>
      </c>
      <c r="Q166" s="11">
        <f t="shared" si="14"/>
        <v>360.78000000000003</v>
      </c>
      <c r="R166" t="str">
        <f t="shared" si="17"/>
        <v>profit</v>
      </c>
    </row>
    <row r="167" spans="1:18" ht="15.75" customHeight="1" x14ac:dyDescent="0.4">
      <c r="A167" s="1" t="s">
        <v>364</v>
      </c>
      <c r="B167" s="2">
        <v>45613</v>
      </c>
      <c r="C167" s="2">
        <v>45621</v>
      </c>
      <c r="D167" s="2" t="str">
        <f t="shared" si="15"/>
        <v>2024</v>
      </c>
      <c r="E167" s="2" t="str">
        <f t="shared" si="12"/>
        <v>November</v>
      </c>
      <c r="F167" s="2" t="str">
        <f t="shared" si="16"/>
        <v>Q4</v>
      </c>
      <c r="G167" s="13">
        <f t="shared" si="13"/>
        <v>8</v>
      </c>
      <c r="H167" s="12" t="s">
        <v>1987</v>
      </c>
      <c r="I167" s="1" t="s">
        <v>13</v>
      </c>
      <c r="J167" s="1" t="s">
        <v>14</v>
      </c>
      <c r="K167" s="1" t="s">
        <v>54</v>
      </c>
      <c r="L167" s="1" t="s">
        <v>365</v>
      </c>
      <c r="M167" s="10">
        <v>768.69</v>
      </c>
      <c r="N167" s="8">
        <v>2</v>
      </c>
      <c r="O167" s="6">
        <v>0.21</v>
      </c>
      <c r="P167" s="10">
        <v>565.14</v>
      </c>
      <c r="Q167" s="11">
        <f t="shared" si="14"/>
        <v>203.55000000000007</v>
      </c>
      <c r="R167" t="str">
        <f t="shared" si="17"/>
        <v>profit</v>
      </c>
    </row>
    <row r="168" spans="1:18" ht="15.75" customHeight="1" x14ac:dyDescent="0.4">
      <c r="A168" s="1" t="s">
        <v>366</v>
      </c>
      <c r="B168" s="2">
        <v>45286</v>
      </c>
      <c r="C168" s="2">
        <v>45289</v>
      </c>
      <c r="D168" s="2" t="str">
        <f t="shared" si="15"/>
        <v>2023</v>
      </c>
      <c r="E168" s="2" t="str">
        <f t="shared" si="12"/>
        <v>December</v>
      </c>
      <c r="F168" s="2" t="str">
        <f t="shared" si="16"/>
        <v>Q4</v>
      </c>
      <c r="G168" s="13">
        <f t="shared" si="13"/>
        <v>3</v>
      </c>
      <c r="H168" s="12" t="s">
        <v>1987</v>
      </c>
      <c r="I168" s="1" t="s">
        <v>59</v>
      </c>
      <c r="J168" s="1" t="s">
        <v>19</v>
      </c>
      <c r="K168" s="1" t="s">
        <v>92</v>
      </c>
      <c r="L168" s="1" t="s">
        <v>367</v>
      </c>
      <c r="M168" s="10">
        <v>663.32</v>
      </c>
      <c r="N168" s="8">
        <v>2</v>
      </c>
      <c r="O168" s="6">
        <v>0.09</v>
      </c>
      <c r="P168" s="10">
        <v>585.03</v>
      </c>
      <c r="Q168" s="11">
        <f t="shared" si="14"/>
        <v>78.290000000000077</v>
      </c>
      <c r="R168" t="str">
        <f t="shared" si="17"/>
        <v>profit</v>
      </c>
    </row>
    <row r="169" spans="1:18" ht="15.75" customHeight="1" x14ac:dyDescent="0.4">
      <c r="A169" s="1" t="s">
        <v>368</v>
      </c>
      <c r="B169" s="2">
        <v>45318</v>
      </c>
      <c r="C169" s="2">
        <v>45326</v>
      </c>
      <c r="D169" s="2" t="str">
        <f t="shared" si="15"/>
        <v>2024</v>
      </c>
      <c r="E169" s="2" t="str">
        <f t="shared" si="12"/>
        <v>February</v>
      </c>
      <c r="F169" s="2" t="str">
        <f t="shared" si="16"/>
        <v>Q1</v>
      </c>
      <c r="G169" s="13">
        <f t="shared" si="13"/>
        <v>8</v>
      </c>
      <c r="H169" s="12" t="s">
        <v>23</v>
      </c>
      <c r="I169" s="1" t="s">
        <v>59</v>
      </c>
      <c r="J169" s="1" t="s">
        <v>19</v>
      </c>
      <c r="K169" s="1" t="s">
        <v>92</v>
      </c>
      <c r="L169" s="1" t="s">
        <v>369</v>
      </c>
      <c r="M169" s="10">
        <v>343.39</v>
      </c>
      <c r="N169" s="8">
        <v>8</v>
      </c>
      <c r="O169" s="6">
        <v>0.2</v>
      </c>
      <c r="P169" s="10">
        <v>252.12</v>
      </c>
      <c r="Q169" s="11">
        <f t="shared" si="14"/>
        <v>91.269999999999982</v>
      </c>
      <c r="R169" t="str">
        <f t="shared" si="17"/>
        <v>profit</v>
      </c>
    </row>
    <row r="170" spans="1:18" ht="15.75" customHeight="1" x14ac:dyDescent="0.4">
      <c r="A170" s="1" t="s">
        <v>370</v>
      </c>
      <c r="B170" s="2">
        <v>45330</v>
      </c>
      <c r="C170" s="2">
        <v>45331</v>
      </c>
      <c r="D170" s="2" t="str">
        <f t="shared" si="15"/>
        <v>2024</v>
      </c>
      <c r="E170" s="2" t="str">
        <f t="shared" si="12"/>
        <v>February</v>
      </c>
      <c r="F170" s="2" t="str">
        <f t="shared" si="16"/>
        <v>Q1</v>
      </c>
      <c r="G170" s="13">
        <f t="shared" si="13"/>
        <v>1</v>
      </c>
      <c r="H170" s="12" t="s">
        <v>1987</v>
      </c>
      <c r="I170" s="1" t="s">
        <v>13</v>
      </c>
      <c r="J170" s="1" t="s">
        <v>14</v>
      </c>
      <c r="K170" s="1" t="s">
        <v>54</v>
      </c>
      <c r="L170" s="1" t="s">
        <v>371</v>
      </c>
      <c r="M170" s="10">
        <v>785</v>
      </c>
      <c r="N170" s="8">
        <v>6</v>
      </c>
      <c r="O170" s="6">
        <v>0.43</v>
      </c>
      <c r="P170" s="10">
        <v>435.53</v>
      </c>
      <c r="Q170" s="11">
        <f t="shared" si="14"/>
        <v>349.47</v>
      </c>
      <c r="R170" t="str">
        <f t="shared" si="17"/>
        <v>profit</v>
      </c>
    </row>
    <row r="171" spans="1:18" ht="15.75" customHeight="1" x14ac:dyDescent="0.4">
      <c r="A171" s="1" t="s">
        <v>372</v>
      </c>
      <c r="B171" s="2">
        <v>45524</v>
      </c>
      <c r="C171" s="2">
        <v>45525</v>
      </c>
      <c r="D171" s="2" t="str">
        <f t="shared" si="15"/>
        <v>2024</v>
      </c>
      <c r="E171" s="2" t="str">
        <f t="shared" si="12"/>
        <v>August</v>
      </c>
      <c r="F171" s="2" t="str">
        <f t="shared" si="16"/>
        <v>Q3</v>
      </c>
      <c r="G171" s="13">
        <f t="shared" si="13"/>
        <v>1</v>
      </c>
      <c r="H171" s="12" t="s">
        <v>42</v>
      </c>
      <c r="I171" s="1" t="s">
        <v>46</v>
      </c>
      <c r="J171" s="1" t="s">
        <v>14</v>
      </c>
      <c r="K171" s="1" t="s">
        <v>54</v>
      </c>
      <c r="L171" s="1" t="s">
        <v>373</v>
      </c>
      <c r="M171" s="10">
        <v>569.07000000000005</v>
      </c>
      <c r="N171" s="8">
        <v>7</v>
      </c>
      <c r="O171" s="6">
        <v>0.13</v>
      </c>
      <c r="P171" s="10">
        <v>482.08</v>
      </c>
      <c r="Q171" s="11">
        <f t="shared" si="14"/>
        <v>86.990000000000066</v>
      </c>
      <c r="R171" t="str">
        <f t="shared" si="17"/>
        <v>profit</v>
      </c>
    </row>
    <row r="172" spans="1:18" ht="15.75" customHeight="1" x14ac:dyDescent="0.4">
      <c r="A172" s="1" t="s">
        <v>374</v>
      </c>
      <c r="B172" s="2">
        <v>45356</v>
      </c>
      <c r="C172" s="2">
        <v>45362</v>
      </c>
      <c r="D172" s="2" t="str">
        <f t="shared" si="15"/>
        <v>2024</v>
      </c>
      <c r="E172" s="2" t="str">
        <f t="shared" si="12"/>
        <v>March</v>
      </c>
      <c r="F172" s="2" t="str">
        <f t="shared" si="16"/>
        <v>Q2</v>
      </c>
      <c r="G172" s="13">
        <f t="shared" si="13"/>
        <v>6</v>
      </c>
      <c r="H172" s="12" t="s">
        <v>23</v>
      </c>
      <c r="I172" s="1" t="s">
        <v>13</v>
      </c>
      <c r="J172" s="1" t="s">
        <v>19</v>
      </c>
      <c r="K172" s="1" t="s">
        <v>35</v>
      </c>
      <c r="L172" s="1" t="s">
        <v>375</v>
      </c>
      <c r="M172" s="10">
        <v>977.65</v>
      </c>
      <c r="N172" s="8">
        <v>1</v>
      </c>
      <c r="O172" s="6">
        <v>0.36</v>
      </c>
      <c r="P172" s="10">
        <v>587.27</v>
      </c>
      <c r="Q172" s="11">
        <f t="shared" si="14"/>
        <v>390.38</v>
      </c>
      <c r="R172" t="str">
        <f t="shared" si="17"/>
        <v>profit</v>
      </c>
    </row>
    <row r="173" spans="1:18" ht="15.75" customHeight="1" x14ac:dyDescent="0.4">
      <c r="A173" s="1" t="s">
        <v>376</v>
      </c>
      <c r="B173" s="2">
        <v>45270</v>
      </c>
      <c r="C173" s="2">
        <v>45273</v>
      </c>
      <c r="D173" s="2" t="str">
        <f t="shared" si="15"/>
        <v>2023</v>
      </c>
      <c r="E173" s="2" t="str">
        <f t="shared" si="12"/>
        <v>December</v>
      </c>
      <c r="F173" s="2" t="str">
        <f t="shared" si="16"/>
        <v>Q4</v>
      </c>
      <c r="G173" s="13">
        <f t="shared" si="13"/>
        <v>3</v>
      </c>
      <c r="H173" s="12" t="s">
        <v>1986</v>
      </c>
      <c r="I173" s="1" t="s">
        <v>24</v>
      </c>
      <c r="J173" s="1" t="s">
        <v>14</v>
      </c>
      <c r="K173" s="1" t="s">
        <v>30</v>
      </c>
      <c r="L173" s="1" t="s">
        <v>377</v>
      </c>
      <c r="M173" s="10">
        <v>197.64</v>
      </c>
      <c r="N173" s="8">
        <v>3</v>
      </c>
      <c r="O173" s="6">
        <v>0.35</v>
      </c>
      <c r="P173" s="10">
        <v>108.9</v>
      </c>
      <c r="Q173" s="11">
        <f t="shared" si="14"/>
        <v>88.739999999999981</v>
      </c>
      <c r="R173" t="str">
        <f t="shared" si="17"/>
        <v>profit</v>
      </c>
    </row>
    <row r="174" spans="1:18" ht="15.75" customHeight="1" x14ac:dyDescent="0.4">
      <c r="A174" s="1" t="s">
        <v>378</v>
      </c>
      <c r="B174" s="2">
        <v>45041</v>
      </c>
      <c r="C174" s="2">
        <v>45044</v>
      </c>
      <c r="D174" s="2" t="str">
        <f t="shared" si="15"/>
        <v>2023</v>
      </c>
      <c r="E174" s="2" t="str">
        <f t="shared" si="12"/>
        <v>April</v>
      </c>
      <c r="F174" s="2" t="str">
        <f t="shared" si="16"/>
        <v>Q2</v>
      </c>
      <c r="G174" s="13">
        <f t="shared" si="13"/>
        <v>3</v>
      </c>
      <c r="H174" s="12" t="s">
        <v>42</v>
      </c>
      <c r="I174" s="1" t="s">
        <v>53</v>
      </c>
      <c r="J174" s="1" t="s">
        <v>14</v>
      </c>
      <c r="K174" s="1" t="s">
        <v>30</v>
      </c>
      <c r="L174" s="1" t="s">
        <v>379</v>
      </c>
      <c r="M174" s="10">
        <v>510.44</v>
      </c>
      <c r="N174" s="8">
        <v>7</v>
      </c>
      <c r="O174" s="6">
        <v>0.17</v>
      </c>
      <c r="P174" s="10">
        <v>407.53</v>
      </c>
      <c r="Q174" s="11">
        <f t="shared" si="14"/>
        <v>102.91000000000003</v>
      </c>
      <c r="R174" t="str">
        <f t="shared" si="17"/>
        <v>profit</v>
      </c>
    </row>
    <row r="175" spans="1:18" ht="15.75" customHeight="1" x14ac:dyDescent="0.4">
      <c r="A175" s="1" t="s">
        <v>380</v>
      </c>
      <c r="C175" s="2">
        <v>45319</v>
      </c>
      <c r="D175" s="2" t="str">
        <f t="shared" si="15"/>
        <v/>
      </c>
      <c r="E175" s="2" t="str">
        <f t="shared" si="12"/>
        <v>January</v>
      </c>
      <c r="F175" s="2" t="str">
        <f t="shared" si="16"/>
        <v>Q1</v>
      </c>
      <c r="G175" s="13">
        <f t="shared" si="13"/>
        <v>45319</v>
      </c>
      <c r="H175" s="12" t="s">
        <v>1988</v>
      </c>
      <c r="I175" s="1" t="s">
        <v>46</v>
      </c>
      <c r="J175" s="1" t="s">
        <v>25</v>
      </c>
      <c r="K175" s="1" t="s">
        <v>47</v>
      </c>
      <c r="L175" s="1" t="s">
        <v>381</v>
      </c>
      <c r="M175" s="11" t="s">
        <v>1989</v>
      </c>
      <c r="N175" s="8">
        <v>1</v>
      </c>
      <c r="O175" s="6">
        <v>0.27</v>
      </c>
      <c r="P175" s="10">
        <v>193.16</v>
      </c>
      <c r="Q175" s="11" t="e">
        <f t="shared" si="14"/>
        <v>#VALUE!</v>
      </c>
      <c r="R175" t="str">
        <f t="shared" si="17"/>
        <v>profit</v>
      </c>
    </row>
    <row r="176" spans="1:18" ht="15.75" customHeight="1" x14ac:dyDescent="0.4">
      <c r="A176" s="1" t="s">
        <v>382</v>
      </c>
      <c r="B176" s="2">
        <v>44911</v>
      </c>
      <c r="C176" s="2">
        <v>44918</v>
      </c>
      <c r="D176" s="2" t="str">
        <f t="shared" si="15"/>
        <v>2022</v>
      </c>
      <c r="E176" s="2" t="str">
        <f t="shared" si="12"/>
        <v>December</v>
      </c>
      <c r="F176" s="2" t="str">
        <f t="shared" si="16"/>
        <v>Q4</v>
      </c>
      <c r="G176" s="13">
        <f t="shared" si="13"/>
        <v>7</v>
      </c>
      <c r="H176" s="12" t="s">
        <v>23</v>
      </c>
      <c r="I176" s="1" t="s">
        <v>59</v>
      </c>
      <c r="J176" s="1" t="s">
        <v>19</v>
      </c>
      <c r="K176" s="1" t="s">
        <v>92</v>
      </c>
      <c r="L176" s="1" t="s">
        <v>383</v>
      </c>
      <c r="M176" s="10">
        <v>422.9</v>
      </c>
      <c r="N176" s="8">
        <v>3</v>
      </c>
      <c r="O176" s="6">
        <v>0.47</v>
      </c>
      <c r="P176" s="10">
        <v>212.22</v>
      </c>
      <c r="Q176" s="11">
        <f t="shared" si="14"/>
        <v>210.67999999999998</v>
      </c>
      <c r="R176" t="str">
        <f t="shared" si="17"/>
        <v>profit</v>
      </c>
    </row>
    <row r="177" spans="1:18" ht="15.75" customHeight="1" x14ac:dyDescent="0.4">
      <c r="A177" s="1" t="s">
        <v>384</v>
      </c>
      <c r="B177" s="2">
        <v>45428</v>
      </c>
      <c r="C177" s="2">
        <v>45435</v>
      </c>
      <c r="D177" s="2" t="str">
        <f t="shared" si="15"/>
        <v>2024</v>
      </c>
      <c r="E177" s="2" t="str">
        <f t="shared" si="12"/>
        <v>May</v>
      </c>
      <c r="F177" s="2" t="str">
        <f t="shared" si="16"/>
        <v>Q2</v>
      </c>
      <c r="G177" s="13">
        <f t="shared" si="13"/>
        <v>7</v>
      </c>
      <c r="H177" s="12" t="s">
        <v>1986</v>
      </c>
      <c r="I177" s="1" t="s">
        <v>59</v>
      </c>
      <c r="J177" s="1" t="s">
        <v>19</v>
      </c>
      <c r="K177" s="1" t="s">
        <v>20</v>
      </c>
      <c r="L177" s="1" t="s">
        <v>385</v>
      </c>
      <c r="M177" s="10">
        <v>946.34</v>
      </c>
      <c r="N177" s="8">
        <v>4</v>
      </c>
      <c r="O177" s="6">
        <v>0.34</v>
      </c>
      <c r="P177" s="10">
        <v>609.88</v>
      </c>
      <c r="Q177" s="11">
        <f t="shared" si="14"/>
        <v>336.46000000000004</v>
      </c>
      <c r="R177" t="str">
        <f t="shared" si="17"/>
        <v>profit</v>
      </c>
    </row>
    <row r="178" spans="1:18" ht="15.75" customHeight="1" x14ac:dyDescent="0.4">
      <c r="A178" s="1" t="s">
        <v>386</v>
      </c>
      <c r="B178" s="2">
        <v>45266</v>
      </c>
      <c r="C178" s="2">
        <v>45269</v>
      </c>
      <c r="D178" s="2" t="str">
        <f t="shared" si="15"/>
        <v>2023</v>
      </c>
      <c r="E178" s="2" t="str">
        <f t="shared" si="12"/>
        <v>December</v>
      </c>
      <c r="F178" s="2" t="str">
        <f t="shared" si="16"/>
        <v>Q4</v>
      </c>
      <c r="G178" s="13">
        <f t="shared" si="13"/>
        <v>3</v>
      </c>
      <c r="H178" s="12" t="s">
        <v>42</v>
      </c>
      <c r="I178" s="1" t="s">
        <v>24</v>
      </c>
      <c r="J178" s="1" t="s">
        <v>19</v>
      </c>
      <c r="K178" s="1" t="s">
        <v>35</v>
      </c>
      <c r="L178" s="1" t="s">
        <v>387</v>
      </c>
      <c r="M178" s="10">
        <v>631.66</v>
      </c>
      <c r="N178" s="8">
        <v>2</v>
      </c>
      <c r="O178" s="6">
        <v>7.0000000000000007E-2</v>
      </c>
      <c r="P178" s="10">
        <v>545.4</v>
      </c>
      <c r="Q178" s="11">
        <f t="shared" si="14"/>
        <v>86.259999999999991</v>
      </c>
      <c r="R178" t="str">
        <f t="shared" si="17"/>
        <v>profit</v>
      </c>
    </row>
    <row r="179" spans="1:18" ht="15.75" customHeight="1" x14ac:dyDescent="0.4">
      <c r="A179" s="1" t="s">
        <v>388</v>
      </c>
      <c r="B179" s="2">
        <v>45108</v>
      </c>
      <c r="C179" s="2">
        <v>45110</v>
      </c>
      <c r="D179" s="2" t="str">
        <f t="shared" si="15"/>
        <v>2023</v>
      </c>
      <c r="E179" s="2" t="str">
        <f t="shared" si="12"/>
        <v>July</v>
      </c>
      <c r="F179" s="2" t="str">
        <f t="shared" si="16"/>
        <v>Q3</v>
      </c>
      <c r="G179" s="13">
        <f t="shared" si="13"/>
        <v>2</v>
      </c>
      <c r="H179" s="12" t="s">
        <v>1986</v>
      </c>
      <c r="I179" s="1" t="s">
        <v>59</v>
      </c>
      <c r="J179" s="1" t="s">
        <v>14</v>
      </c>
      <c r="K179" s="1" t="s">
        <v>54</v>
      </c>
      <c r="L179" s="1" t="s">
        <v>389</v>
      </c>
      <c r="M179" s="10">
        <v>294.11</v>
      </c>
      <c r="N179" s="8">
        <v>8</v>
      </c>
      <c r="O179" s="6">
        <v>0.31</v>
      </c>
      <c r="P179" s="10">
        <v>168.59</v>
      </c>
      <c r="Q179" s="11">
        <f t="shared" si="14"/>
        <v>125.52000000000001</v>
      </c>
      <c r="R179" t="str">
        <f t="shared" si="17"/>
        <v>profit</v>
      </c>
    </row>
    <row r="180" spans="1:18" ht="15.75" customHeight="1" x14ac:dyDescent="0.4">
      <c r="A180" s="1" t="s">
        <v>390</v>
      </c>
      <c r="B180" s="2">
        <v>45370</v>
      </c>
      <c r="C180" s="2">
        <v>45378</v>
      </c>
      <c r="D180" s="2" t="str">
        <f t="shared" si="15"/>
        <v>2024</v>
      </c>
      <c r="E180" s="2" t="str">
        <f t="shared" si="12"/>
        <v>March</v>
      </c>
      <c r="F180" s="2" t="str">
        <f t="shared" si="16"/>
        <v>Q2</v>
      </c>
      <c r="G180" s="13">
        <f t="shared" si="13"/>
        <v>8</v>
      </c>
      <c r="H180" s="12" t="s">
        <v>23</v>
      </c>
      <c r="I180" s="1" t="s">
        <v>59</v>
      </c>
      <c r="J180" s="1" t="s">
        <v>14</v>
      </c>
      <c r="K180" s="1" t="s">
        <v>54</v>
      </c>
      <c r="L180" s="1" t="s">
        <v>391</v>
      </c>
      <c r="M180" s="10">
        <v>41.33</v>
      </c>
      <c r="N180" s="8">
        <v>3</v>
      </c>
      <c r="O180" s="6">
        <v>0.09</v>
      </c>
      <c r="P180" s="10">
        <v>2.1</v>
      </c>
      <c r="Q180" s="11">
        <f t="shared" si="14"/>
        <v>39.229999999999997</v>
      </c>
      <c r="R180" t="str">
        <f t="shared" si="17"/>
        <v>profit</v>
      </c>
    </row>
    <row r="181" spans="1:18" ht="15.75" customHeight="1" x14ac:dyDescent="0.4">
      <c r="A181" s="1" t="s">
        <v>392</v>
      </c>
      <c r="B181" s="2">
        <v>45312</v>
      </c>
      <c r="C181" s="2">
        <v>45313</v>
      </c>
      <c r="D181" s="2" t="str">
        <f t="shared" si="15"/>
        <v>2024</v>
      </c>
      <c r="E181" s="2" t="str">
        <f t="shared" si="12"/>
        <v>January</v>
      </c>
      <c r="F181" s="2" t="str">
        <f t="shared" si="16"/>
        <v>Q1</v>
      </c>
      <c r="G181" s="13">
        <f t="shared" si="13"/>
        <v>1</v>
      </c>
      <c r="H181" s="12" t="s">
        <v>23</v>
      </c>
      <c r="I181" s="1" t="s">
        <v>50</v>
      </c>
      <c r="J181" s="1" t="s">
        <v>19</v>
      </c>
      <c r="K181" s="1" t="s">
        <v>35</v>
      </c>
      <c r="L181" s="1" t="s">
        <v>393</v>
      </c>
      <c r="M181" s="10">
        <v>920.92</v>
      </c>
      <c r="N181" s="8">
        <v>7</v>
      </c>
      <c r="O181" s="6">
        <v>0.08</v>
      </c>
      <c r="P181" s="10">
        <v>810.27</v>
      </c>
      <c r="Q181" s="11">
        <f t="shared" si="14"/>
        <v>110.64999999999998</v>
      </c>
      <c r="R181" t="str">
        <f t="shared" si="17"/>
        <v>profit</v>
      </c>
    </row>
    <row r="182" spans="1:18" ht="15.75" customHeight="1" x14ac:dyDescent="0.4">
      <c r="A182" s="1" t="s">
        <v>394</v>
      </c>
      <c r="B182" s="2">
        <v>44997</v>
      </c>
      <c r="C182" s="2">
        <v>44998</v>
      </c>
      <c r="D182" s="2" t="str">
        <f t="shared" si="15"/>
        <v>2023</v>
      </c>
      <c r="E182" s="2" t="str">
        <f t="shared" si="12"/>
        <v>March</v>
      </c>
      <c r="F182" s="2" t="str">
        <f t="shared" si="16"/>
        <v>Q2</v>
      </c>
      <c r="G182" s="13">
        <f t="shared" si="13"/>
        <v>1</v>
      </c>
      <c r="H182" s="12" t="s">
        <v>42</v>
      </c>
      <c r="I182" s="1" t="s">
        <v>18</v>
      </c>
      <c r="J182" s="1" t="s">
        <v>19</v>
      </c>
      <c r="K182" s="1" t="s">
        <v>35</v>
      </c>
      <c r="L182" s="1" t="s">
        <v>395</v>
      </c>
      <c r="M182" s="10">
        <v>420.95</v>
      </c>
      <c r="N182" s="8">
        <v>10</v>
      </c>
      <c r="O182" s="6">
        <v>0.01</v>
      </c>
      <c r="P182" s="10">
        <v>390.36</v>
      </c>
      <c r="Q182" s="11">
        <f t="shared" si="14"/>
        <v>30.589999999999975</v>
      </c>
      <c r="R182" t="str">
        <f t="shared" si="17"/>
        <v>profit</v>
      </c>
    </row>
    <row r="183" spans="1:18" ht="15.75" customHeight="1" x14ac:dyDescent="0.4">
      <c r="A183" s="1" t="s">
        <v>396</v>
      </c>
      <c r="B183" s="2">
        <v>45147</v>
      </c>
      <c r="C183" s="2">
        <v>45155</v>
      </c>
      <c r="D183" s="2" t="str">
        <f t="shared" si="15"/>
        <v>2023</v>
      </c>
      <c r="E183" s="2" t="str">
        <f t="shared" si="12"/>
        <v>August</v>
      </c>
      <c r="F183" s="2" t="str">
        <f t="shared" si="16"/>
        <v>Q3</v>
      </c>
      <c r="G183" s="13">
        <f t="shared" si="13"/>
        <v>8</v>
      </c>
      <c r="H183" s="12" t="s">
        <v>23</v>
      </c>
      <c r="I183" s="1" t="s">
        <v>18</v>
      </c>
      <c r="J183" s="1" t="s">
        <v>25</v>
      </c>
      <c r="K183" s="1" t="s">
        <v>43</v>
      </c>
      <c r="L183" s="1" t="s">
        <v>397</v>
      </c>
      <c r="M183" s="10">
        <v>719.92</v>
      </c>
      <c r="N183" s="8">
        <v>2</v>
      </c>
      <c r="O183" s="6">
        <v>0.18</v>
      </c>
      <c r="P183" s="10">
        <v>569.5</v>
      </c>
      <c r="Q183" s="11">
        <f t="shared" si="14"/>
        <v>150.41999999999996</v>
      </c>
      <c r="R183" t="str">
        <f t="shared" si="17"/>
        <v>profit</v>
      </c>
    </row>
    <row r="184" spans="1:18" ht="15.75" customHeight="1" x14ac:dyDescent="0.4">
      <c r="A184" s="1" t="s">
        <v>398</v>
      </c>
      <c r="B184" s="2">
        <v>45230</v>
      </c>
      <c r="C184" s="2">
        <v>45237</v>
      </c>
      <c r="D184" s="2" t="str">
        <f t="shared" si="15"/>
        <v>2023</v>
      </c>
      <c r="E184" s="2" t="str">
        <f t="shared" si="12"/>
        <v>November</v>
      </c>
      <c r="F184" s="2" t="str">
        <f t="shared" si="16"/>
        <v>Q4</v>
      </c>
      <c r="G184" s="13">
        <f t="shared" si="13"/>
        <v>7</v>
      </c>
      <c r="H184" s="12" t="s">
        <v>1986</v>
      </c>
      <c r="I184" s="1" t="s">
        <v>46</v>
      </c>
      <c r="J184" s="1" t="s">
        <v>14</v>
      </c>
      <c r="K184" s="1" t="s">
        <v>15</v>
      </c>
      <c r="L184" s="1" t="s">
        <v>399</v>
      </c>
      <c r="M184" s="10">
        <v>932.23</v>
      </c>
      <c r="N184" s="8">
        <v>5</v>
      </c>
      <c r="O184" s="6">
        <v>0.14000000000000001</v>
      </c>
      <c r="P184" s="10">
        <v>783.02</v>
      </c>
      <c r="Q184" s="11">
        <f t="shared" si="14"/>
        <v>149.21000000000004</v>
      </c>
      <c r="R184" t="str">
        <f t="shared" si="17"/>
        <v>profit</v>
      </c>
    </row>
    <row r="185" spans="1:18" ht="15.75" customHeight="1" x14ac:dyDescent="0.4">
      <c r="A185" s="1" t="s">
        <v>400</v>
      </c>
      <c r="B185" s="2">
        <v>45079</v>
      </c>
      <c r="C185" s="2">
        <v>45084</v>
      </c>
      <c r="D185" s="2" t="str">
        <f t="shared" si="15"/>
        <v>2023</v>
      </c>
      <c r="E185" s="2" t="str">
        <f t="shared" si="12"/>
        <v>June</v>
      </c>
      <c r="F185" s="2" t="str">
        <f t="shared" si="16"/>
        <v>Q3</v>
      </c>
      <c r="G185" s="13">
        <f t="shared" si="13"/>
        <v>5</v>
      </c>
      <c r="H185" s="12" t="s">
        <v>1987</v>
      </c>
      <c r="I185" s="1" t="s">
        <v>18</v>
      </c>
      <c r="J185" s="1" t="s">
        <v>14</v>
      </c>
      <c r="K185" s="1" t="s">
        <v>15</v>
      </c>
      <c r="L185" s="1" t="s">
        <v>399</v>
      </c>
      <c r="M185" s="10">
        <v>99999</v>
      </c>
      <c r="N185" s="8">
        <v>7</v>
      </c>
      <c r="O185" s="6">
        <v>0.02</v>
      </c>
      <c r="P185" s="10">
        <v>224.91</v>
      </c>
      <c r="Q185" s="11">
        <f t="shared" si="14"/>
        <v>99774.09</v>
      </c>
      <c r="R185" t="str">
        <f t="shared" si="17"/>
        <v>profit</v>
      </c>
    </row>
    <row r="186" spans="1:18" ht="15.75" customHeight="1" x14ac:dyDescent="0.4">
      <c r="A186" s="1" t="s">
        <v>401</v>
      </c>
      <c r="B186" s="2">
        <v>45033</v>
      </c>
      <c r="C186" s="2">
        <v>45035</v>
      </c>
      <c r="D186" s="2" t="str">
        <f t="shared" si="15"/>
        <v>2023</v>
      </c>
      <c r="E186" s="2" t="str">
        <f t="shared" si="12"/>
        <v>April</v>
      </c>
      <c r="F186" s="2" t="str">
        <f t="shared" si="16"/>
        <v>Q2</v>
      </c>
      <c r="G186" s="13">
        <f t="shared" si="13"/>
        <v>2</v>
      </c>
      <c r="H186" s="12" t="s">
        <v>23</v>
      </c>
      <c r="I186" s="1" t="s">
        <v>18</v>
      </c>
      <c r="J186" s="1" t="s">
        <v>19</v>
      </c>
      <c r="K186" s="1" t="s">
        <v>35</v>
      </c>
      <c r="L186" s="1" t="s">
        <v>402</v>
      </c>
      <c r="M186" s="10">
        <v>115.04</v>
      </c>
      <c r="N186" s="8">
        <v>2</v>
      </c>
      <c r="O186" s="6">
        <v>0.12</v>
      </c>
      <c r="P186" s="10">
        <v>80.86</v>
      </c>
      <c r="Q186" s="11">
        <f t="shared" si="14"/>
        <v>34.180000000000007</v>
      </c>
      <c r="R186" t="str">
        <f t="shared" si="17"/>
        <v>profit</v>
      </c>
    </row>
    <row r="187" spans="1:18" ht="15.75" customHeight="1" x14ac:dyDescent="0.4">
      <c r="A187" s="1" t="s">
        <v>403</v>
      </c>
      <c r="B187" s="2">
        <v>45243</v>
      </c>
      <c r="C187" s="2">
        <v>45251</v>
      </c>
      <c r="D187" s="2" t="str">
        <f t="shared" si="15"/>
        <v>2023</v>
      </c>
      <c r="E187" s="2" t="str">
        <f t="shared" si="12"/>
        <v>November</v>
      </c>
      <c r="F187" s="2" t="str">
        <f t="shared" si="16"/>
        <v>Q4</v>
      </c>
      <c r="G187" s="13">
        <f t="shared" si="13"/>
        <v>8</v>
      </c>
      <c r="H187" s="12" t="s">
        <v>1986</v>
      </c>
      <c r="I187" s="1" t="s">
        <v>59</v>
      </c>
      <c r="J187" s="1" t="s">
        <v>14</v>
      </c>
      <c r="K187" s="1" t="s">
        <v>15</v>
      </c>
      <c r="L187" s="1" t="s">
        <v>404</v>
      </c>
      <c r="M187" s="10">
        <v>504.88</v>
      </c>
      <c r="N187" s="8">
        <v>7</v>
      </c>
      <c r="O187" s="6">
        <v>0.22</v>
      </c>
      <c r="P187" s="10">
        <v>381.53</v>
      </c>
      <c r="Q187" s="11">
        <f t="shared" si="14"/>
        <v>123.35000000000002</v>
      </c>
      <c r="R187" t="str">
        <f t="shared" si="17"/>
        <v>profit</v>
      </c>
    </row>
    <row r="188" spans="1:18" ht="15.75" customHeight="1" x14ac:dyDescent="0.4">
      <c r="A188" s="1" t="s">
        <v>405</v>
      </c>
      <c r="B188" s="2">
        <v>45273</v>
      </c>
      <c r="C188" s="2">
        <v>45280</v>
      </c>
      <c r="D188" s="2" t="str">
        <f t="shared" si="15"/>
        <v>2023</v>
      </c>
      <c r="E188" s="2" t="str">
        <f t="shared" si="12"/>
        <v>December</v>
      </c>
      <c r="F188" s="2" t="str">
        <f t="shared" si="16"/>
        <v>Q4</v>
      </c>
      <c r="G188" s="13">
        <f t="shared" si="13"/>
        <v>7</v>
      </c>
      <c r="H188" s="12" t="s">
        <v>42</v>
      </c>
      <c r="I188" s="1" t="s">
        <v>59</v>
      </c>
      <c r="J188" s="1" t="s">
        <v>19</v>
      </c>
      <c r="K188" s="1" t="s">
        <v>92</v>
      </c>
      <c r="L188" s="1" t="s">
        <v>406</v>
      </c>
      <c r="M188" s="10">
        <v>375.81</v>
      </c>
      <c r="N188" s="8">
        <v>3</v>
      </c>
      <c r="O188" s="6">
        <v>0.43</v>
      </c>
      <c r="P188" s="10">
        <v>177.36</v>
      </c>
      <c r="Q188" s="11">
        <f t="shared" si="14"/>
        <v>198.45</v>
      </c>
      <c r="R188" t="str">
        <f t="shared" si="17"/>
        <v>profit</v>
      </c>
    </row>
    <row r="189" spans="1:18" ht="15.75" customHeight="1" x14ac:dyDescent="0.4">
      <c r="A189" s="1" t="s">
        <v>407</v>
      </c>
      <c r="B189" s="2">
        <v>45080</v>
      </c>
      <c r="C189" s="2">
        <v>45085</v>
      </c>
      <c r="D189" s="2" t="str">
        <f t="shared" si="15"/>
        <v>2023</v>
      </c>
      <c r="E189" s="2" t="str">
        <f t="shared" si="12"/>
        <v>June</v>
      </c>
      <c r="F189" s="2" t="str">
        <f t="shared" si="16"/>
        <v>Q3</v>
      </c>
      <c r="G189" s="13">
        <f t="shared" si="13"/>
        <v>5</v>
      </c>
      <c r="H189" s="12" t="s">
        <v>23</v>
      </c>
      <c r="I189" s="1" t="s">
        <v>53</v>
      </c>
      <c r="J189" s="1" t="s">
        <v>19</v>
      </c>
      <c r="K189" s="1" t="s">
        <v>92</v>
      </c>
      <c r="L189" s="1" t="s">
        <v>408</v>
      </c>
      <c r="M189" s="10">
        <v>215.98</v>
      </c>
      <c r="N189" s="8">
        <v>7</v>
      </c>
      <c r="O189" s="6">
        <v>0.28000000000000003</v>
      </c>
      <c r="P189" s="10">
        <v>118.07</v>
      </c>
      <c r="Q189" s="11">
        <f t="shared" si="14"/>
        <v>97.91</v>
      </c>
      <c r="R189" t="str">
        <f t="shared" si="17"/>
        <v>profit</v>
      </c>
    </row>
    <row r="190" spans="1:18" ht="15.75" customHeight="1" x14ac:dyDescent="0.4">
      <c r="A190" s="1" t="s">
        <v>409</v>
      </c>
      <c r="B190" s="2">
        <v>45596</v>
      </c>
      <c r="C190" s="2">
        <v>45598</v>
      </c>
      <c r="D190" s="2" t="str">
        <f t="shared" si="15"/>
        <v>2024</v>
      </c>
      <c r="E190" s="2" t="str">
        <f t="shared" si="12"/>
        <v>November</v>
      </c>
      <c r="F190" s="2" t="str">
        <f t="shared" si="16"/>
        <v>Q4</v>
      </c>
      <c r="G190" s="13">
        <f t="shared" si="13"/>
        <v>2</v>
      </c>
      <c r="H190" s="12" t="s">
        <v>42</v>
      </c>
      <c r="I190" s="1" t="s">
        <v>29</v>
      </c>
      <c r="J190" s="1" t="s">
        <v>19</v>
      </c>
      <c r="K190" s="1" t="s">
        <v>20</v>
      </c>
      <c r="L190" s="1" t="s">
        <v>410</v>
      </c>
      <c r="M190" s="10">
        <v>471.95</v>
      </c>
      <c r="N190" s="8">
        <v>3</v>
      </c>
      <c r="O190" s="6">
        <v>0.09</v>
      </c>
      <c r="P190" s="10">
        <v>383.15</v>
      </c>
      <c r="Q190" s="11">
        <f t="shared" si="14"/>
        <v>88.800000000000011</v>
      </c>
      <c r="R190" t="str">
        <f t="shared" si="17"/>
        <v>profit</v>
      </c>
    </row>
    <row r="191" spans="1:18" ht="15.75" customHeight="1" x14ac:dyDescent="0.4">
      <c r="A191" s="1" t="s">
        <v>411</v>
      </c>
      <c r="B191" s="2">
        <v>45627</v>
      </c>
      <c r="C191" s="2">
        <v>45631</v>
      </c>
      <c r="D191" s="2" t="str">
        <f t="shared" si="15"/>
        <v>2024</v>
      </c>
      <c r="E191" s="2" t="str">
        <f t="shared" si="12"/>
        <v>December</v>
      </c>
      <c r="F191" s="2" t="str">
        <f t="shared" si="16"/>
        <v>Q4</v>
      </c>
      <c r="G191" s="13">
        <f t="shared" si="13"/>
        <v>4</v>
      </c>
      <c r="H191" s="12" t="s">
        <v>23</v>
      </c>
      <c r="I191" s="1" t="s">
        <v>53</v>
      </c>
      <c r="J191" s="1" t="s">
        <v>14</v>
      </c>
      <c r="K191" s="1" t="s">
        <v>15</v>
      </c>
      <c r="L191" s="1" t="s">
        <v>412</v>
      </c>
      <c r="M191" s="10">
        <v>171.44</v>
      </c>
      <c r="N191" s="8">
        <v>9</v>
      </c>
      <c r="O191" s="6">
        <v>0.33</v>
      </c>
      <c r="P191" s="10">
        <v>77.52</v>
      </c>
      <c r="Q191" s="11">
        <f t="shared" si="14"/>
        <v>93.92</v>
      </c>
      <c r="R191" t="str">
        <f t="shared" si="17"/>
        <v>profit</v>
      </c>
    </row>
    <row r="192" spans="1:18" ht="15.75" customHeight="1" x14ac:dyDescent="0.4">
      <c r="A192" s="1" t="s">
        <v>413</v>
      </c>
      <c r="B192" s="2">
        <v>45116</v>
      </c>
      <c r="C192" s="2">
        <v>45117</v>
      </c>
      <c r="D192" s="2" t="str">
        <f t="shared" si="15"/>
        <v>2023</v>
      </c>
      <c r="E192" s="2" t="str">
        <f t="shared" si="12"/>
        <v>July</v>
      </c>
      <c r="F192" s="2" t="str">
        <f t="shared" si="16"/>
        <v>Q3</v>
      </c>
      <c r="G192" s="13">
        <f t="shared" si="13"/>
        <v>1</v>
      </c>
      <c r="H192" s="12" t="s">
        <v>1986</v>
      </c>
      <c r="I192" s="1" t="s">
        <v>46</v>
      </c>
      <c r="J192" s="1" t="s">
        <v>14</v>
      </c>
      <c r="K192" s="1" t="s">
        <v>15</v>
      </c>
      <c r="L192" s="1" t="s">
        <v>414</v>
      </c>
      <c r="M192" s="10">
        <v>801.49</v>
      </c>
      <c r="N192" s="8">
        <v>5</v>
      </c>
      <c r="O192" s="6">
        <v>0.19</v>
      </c>
      <c r="P192" s="10">
        <v>601.95000000000005</v>
      </c>
      <c r="Q192" s="11">
        <f t="shared" si="14"/>
        <v>199.53999999999996</v>
      </c>
      <c r="R192" t="str">
        <f t="shared" si="17"/>
        <v>profit</v>
      </c>
    </row>
    <row r="193" spans="1:18" ht="15.75" customHeight="1" x14ac:dyDescent="0.4">
      <c r="A193" s="1" t="s">
        <v>415</v>
      </c>
      <c r="B193" s="2">
        <v>45205</v>
      </c>
      <c r="C193" s="2">
        <v>45213</v>
      </c>
      <c r="D193" s="2" t="str">
        <f t="shared" si="15"/>
        <v>2023</v>
      </c>
      <c r="E193" s="2" t="str">
        <f t="shared" si="12"/>
        <v>October</v>
      </c>
      <c r="F193" s="2" t="str">
        <f t="shared" si="16"/>
        <v>Q4</v>
      </c>
      <c r="G193" s="13">
        <f t="shared" si="13"/>
        <v>8</v>
      </c>
      <c r="H193" s="12" t="s">
        <v>23</v>
      </c>
      <c r="I193" s="1" t="s">
        <v>50</v>
      </c>
      <c r="J193" s="1" t="s">
        <v>14</v>
      </c>
      <c r="K193" s="1" t="s">
        <v>30</v>
      </c>
      <c r="L193" s="1" t="s">
        <v>416</v>
      </c>
      <c r="M193" s="10">
        <v>563.27</v>
      </c>
      <c r="N193" s="8">
        <v>1</v>
      </c>
      <c r="O193" s="6">
        <v>0.24</v>
      </c>
      <c r="P193" s="10">
        <v>415.4</v>
      </c>
      <c r="Q193" s="11">
        <f t="shared" si="14"/>
        <v>147.87</v>
      </c>
      <c r="R193" t="str">
        <f t="shared" si="17"/>
        <v>profit</v>
      </c>
    </row>
    <row r="194" spans="1:18" ht="15.75" customHeight="1" x14ac:dyDescent="0.4">
      <c r="A194" s="1" t="s">
        <v>417</v>
      </c>
      <c r="B194" s="2">
        <v>45523</v>
      </c>
      <c r="C194" s="2">
        <v>45531</v>
      </c>
      <c r="D194" s="2" t="str">
        <f t="shared" si="15"/>
        <v>2024</v>
      </c>
      <c r="E194" s="2" t="str">
        <f t="shared" ref="E194:E257" si="18">TEXT(C194, "MMMM")</f>
        <v>August</v>
      </c>
      <c r="F194" s="2" t="str">
        <f t="shared" si="16"/>
        <v>Q3</v>
      </c>
      <c r="G194" s="13">
        <f t="shared" ref="G194:G257" si="19">DATEDIF(B194,C194, "D")</f>
        <v>8</v>
      </c>
      <c r="H194" s="12" t="s">
        <v>1986</v>
      </c>
      <c r="I194" s="1" t="s">
        <v>18</v>
      </c>
      <c r="J194" s="1" t="s">
        <v>14</v>
      </c>
      <c r="K194" s="1" t="s">
        <v>15</v>
      </c>
      <c r="L194" s="1" t="s">
        <v>418</v>
      </c>
      <c r="M194" s="10">
        <v>186.09</v>
      </c>
      <c r="N194" s="8">
        <v>10</v>
      </c>
      <c r="O194" s="6">
        <v>0.33</v>
      </c>
      <c r="P194" s="10">
        <v>112.98</v>
      </c>
      <c r="Q194" s="11">
        <f t="shared" ref="Q194:Q257" si="20">M194 - P194</f>
        <v>73.11</v>
      </c>
      <c r="R194" t="str">
        <f t="shared" si="17"/>
        <v>profit</v>
      </c>
    </row>
    <row r="195" spans="1:18" ht="15.75" customHeight="1" x14ac:dyDescent="0.4">
      <c r="A195" s="1" t="s">
        <v>419</v>
      </c>
      <c r="B195" s="2">
        <v>45145</v>
      </c>
      <c r="C195" s="2">
        <v>45153</v>
      </c>
      <c r="D195" s="2" t="str">
        <f t="shared" ref="D195:D258" si="21">IF(B195="","",TEXT(B195,"YYYY"))</f>
        <v>2023</v>
      </c>
      <c r="E195" s="2" t="str">
        <f t="shared" si="18"/>
        <v>August</v>
      </c>
      <c r="F195" s="2" t="str">
        <f t="shared" ref="F195:F258" si="22">IF(MONTH(C195)&lt;3,"Q1",IF(MONTH(C195)&lt;6,"Q2",IF(MONTH(C195)&lt;9,"Q3","Q4")))</f>
        <v>Q3</v>
      </c>
      <c r="G195" s="13">
        <f t="shared" si="19"/>
        <v>8</v>
      </c>
      <c r="H195" s="12" t="s">
        <v>42</v>
      </c>
      <c r="I195" s="1" t="s">
        <v>59</v>
      </c>
      <c r="J195" s="1" t="s">
        <v>19</v>
      </c>
      <c r="K195" s="1" t="s">
        <v>92</v>
      </c>
      <c r="L195" s="1" t="s">
        <v>420</v>
      </c>
      <c r="M195" s="10">
        <v>470.29</v>
      </c>
      <c r="N195" s="8">
        <v>6</v>
      </c>
      <c r="O195" s="6">
        <v>0.43</v>
      </c>
      <c r="P195" s="10">
        <v>233.64</v>
      </c>
      <c r="Q195" s="11">
        <f t="shared" si="20"/>
        <v>236.65000000000003</v>
      </c>
      <c r="R195" t="str">
        <f t="shared" si="17"/>
        <v>profit</v>
      </c>
    </row>
    <row r="196" spans="1:18" ht="15.75" customHeight="1" x14ac:dyDescent="0.4">
      <c r="A196" s="1" t="s">
        <v>421</v>
      </c>
      <c r="B196" s="2">
        <v>45066</v>
      </c>
      <c r="C196" s="2">
        <v>45073</v>
      </c>
      <c r="D196" s="2" t="str">
        <f t="shared" si="21"/>
        <v>2023</v>
      </c>
      <c r="E196" s="2" t="str">
        <f t="shared" si="18"/>
        <v>May</v>
      </c>
      <c r="F196" s="2" t="str">
        <f t="shared" si="22"/>
        <v>Q2</v>
      </c>
      <c r="G196" s="13">
        <f t="shared" si="19"/>
        <v>7</v>
      </c>
      <c r="H196" s="12" t="s">
        <v>1986</v>
      </c>
      <c r="I196" s="1" t="s">
        <v>18</v>
      </c>
      <c r="J196" s="1" t="s">
        <v>14</v>
      </c>
      <c r="K196" s="1" t="s">
        <v>30</v>
      </c>
      <c r="L196" s="1" t="s">
        <v>422</v>
      </c>
      <c r="M196" s="10">
        <v>503.09</v>
      </c>
      <c r="N196" s="8">
        <v>5</v>
      </c>
      <c r="O196" s="6">
        <v>0.05</v>
      </c>
      <c r="P196" s="10">
        <v>430.49</v>
      </c>
      <c r="Q196" s="11">
        <f t="shared" si="20"/>
        <v>72.599999999999966</v>
      </c>
      <c r="R196" t="str">
        <f t="shared" ref="R196:R259" si="23">IF(P196&gt;0,"profit","loss")</f>
        <v>profit</v>
      </c>
    </row>
    <row r="197" spans="1:18" ht="15.75" customHeight="1" x14ac:dyDescent="0.4">
      <c r="A197" s="1" t="s">
        <v>423</v>
      </c>
      <c r="B197" s="2">
        <v>45628</v>
      </c>
      <c r="C197" s="2">
        <v>45634</v>
      </c>
      <c r="D197" s="2" t="str">
        <f t="shared" si="21"/>
        <v>2024</v>
      </c>
      <c r="E197" s="2" t="str">
        <f t="shared" si="18"/>
        <v>December</v>
      </c>
      <c r="F197" s="2" t="str">
        <f t="shared" si="22"/>
        <v>Q4</v>
      </c>
      <c r="G197" s="13">
        <f t="shared" si="19"/>
        <v>6</v>
      </c>
      <c r="H197" s="12" t="s">
        <v>23</v>
      </c>
      <c r="I197" s="1" t="s">
        <v>29</v>
      </c>
      <c r="J197" s="1" t="s">
        <v>25</v>
      </c>
      <c r="K197" s="1" t="s">
        <v>43</v>
      </c>
      <c r="L197" s="1" t="s">
        <v>424</v>
      </c>
      <c r="M197" s="10">
        <v>134.49</v>
      </c>
      <c r="N197" s="8">
        <v>6</v>
      </c>
      <c r="O197" s="6">
        <v>0.06</v>
      </c>
      <c r="P197" s="10">
        <v>96.58</v>
      </c>
      <c r="Q197" s="11">
        <f t="shared" si="20"/>
        <v>37.910000000000011</v>
      </c>
      <c r="R197" t="str">
        <f t="shared" si="23"/>
        <v>profit</v>
      </c>
    </row>
    <row r="198" spans="1:18" ht="15.75" customHeight="1" x14ac:dyDescent="0.4">
      <c r="A198" s="1" t="s">
        <v>425</v>
      </c>
      <c r="B198" s="2">
        <v>44946</v>
      </c>
      <c r="C198" s="2">
        <v>44954</v>
      </c>
      <c r="D198" s="2" t="str">
        <f t="shared" si="21"/>
        <v>2023</v>
      </c>
      <c r="E198" s="2" t="str">
        <f t="shared" si="18"/>
        <v>January</v>
      </c>
      <c r="F198" s="2" t="str">
        <f t="shared" si="22"/>
        <v>Q1</v>
      </c>
      <c r="G198" s="13">
        <f t="shared" si="19"/>
        <v>8</v>
      </c>
      <c r="H198" s="12" t="s">
        <v>42</v>
      </c>
      <c r="I198" s="1" t="s">
        <v>29</v>
      </c>
      <c r="J198" s="1" t="s">
        <v>14</v>
      </c>
      <c r="K198" s="1" t="s">
        <v>15</v>
      </c>
      <c r="L198" s="1" t="s">
        <v>426</v>
      </c>
      <c r="M198" s="10">
        <v>331.04</v>
      </c>
      <c r="N198" s="8">
        <v>1</v>
      </c>
      <c r="O198" s="6">
        <v>0.37</v>
      </c>
      <c r="P198" s="10">
        <v>187.76</v>
      </c>
      <c r="Q198" s="11">
        <f t="shared" si="20"/>
        <v>143.28000000000003</v>
      </c>
      <c r="R198" t="str">
        <f t="shared" si="23"/>
        <v>profit</v>
      </c>
    </row>
    <row r="199" spans="1:18" ht="15.75" customHeight="1" x14ac:dyDescent="0.4">
      <c r="A199" s="1" t="s">
        <v>427</v>
      </c>
      <c r="C199" s="2">
        <v>45217</v>
      </c>
      <c r="D199" s="2" t="str">
        <f t="shared" si="21"/>
        <v/>
      </c>
      <c r="E199" s="2" t="str">
        <f t="shared" si="18"/>
        <v>October</v>
      </c>
      <c r="F199" s="2" t="str">
        <f t="shared" si="22"/>
        <v>Q4</v>
      </c>
      <c r="G199" s="13">
        <f t="shared" si="19"/>
        <v>45217</v>
      </c>
      <c r="H199" s="12" t="s">
        <v>1988</v>
      </c>
      <c r="I199" s="1" t="s">
        <v>13</v>
      </c>
      <c r="J199" s="1" t="s">
        <v>25</v>
      </c>
      <c r="K199" s="1" t="s">
        <v>43</v>
      </c>
      <c r="L199" s="1" t="s">
        <v>428</v>
      </c>
      <c r="M199" s="11" t="s">
        <v>1989</v>
      </c>
      <c r="N199" s="8">
        <v>10</v>
      </c>
      <c r="O199" s="6">
        <v>0.01</v>
      </c>
      <c r="P199" s="10">
        <v>802.66</v>
      </c>
      <c r="Q199" s="11" t="e">
        <f t="shared" si="20"/>
        <v>#VALUE!</v>
      </c>
      <c r="R199" t="str">
        <f t="shared" si="23"/>
        <v>profit</v>
      </c>
    </row>
    <row r="200" spans="1:18" ht="15.75" customHeight="1" x14ac:dyDescent="0.4">
      <c r="A200" s="1" t="s">
        <v>429</v>
      </c>
      <c r="B200" s="2">
        <v>45324</v>
      </c>
      <c r="C200" s="2">
        <v>45329</v>
      </c>
      <c r="D200" s="2" t="str">
        <f t="shared" si="21"/>
        <v>2024</v>
      </c>
      <c r="E200" s="2" t="str">
        <f t="shared" si="18"/>
        <v>February</v>
      </c>
      <c r="F200" s="2" t="str">
        <f t="shared" si="22"/>
        <v>Q1</v>
      </c>
      <c r="G200" s="13">
        <f t="shared" si="19"/>
        <v>5</v>
      </c>
      <c r="H200" s="12" t="s">
        <v>42</v>
      </c>
      <c r="I200" s="1" t="s">
        <v>13</v>
      </c>
      <c r="J200" s="1" t="s">
        <v>19</v>
      </c>
      <c r="K200" s="1" t="s">
        <v>35</v>
      </c>
      <c r="L200" s="1" t="s">
        <v>430</v>
      </c>
      <c r="M200" s="10">
        <v>387.62</v>
      </c>
      <c r="N200" s="8">
        <v>3</v>
      </c>
      <c r="O200" s="6">
        <v>0.15</v>
      </c>
      <c r="P200" s="10">
        <v>313.02999999999997</v>
      </c>
      <c r="Q200" s="11">
        <f t="shared" si="20"/>
        <v>74.590000000000032</v>
      </c>
      <c r="R200" t="str">
        <f t="shared" si="23"/>
        <v>profit</v>
      </c>
    </row>
    <row r="201" spans="1:18" ht="15.75" customHeight="1" x14ac:dyDescent="0.4">
      <c r="A201" s="1" t="s">
        <v>431</v>
      </c>
      <c r="B201" s="2">
        <v>45365</v>
      </c>
      <c r="C201" s="2">
        <v>45371</v>
      </c>
      <c r="D201" s="2" t="str">
        <f t="shared" si="21"/>
        <v>2024</v>
      </c>
      <c r="E201" s="2" t="str">
        <f t="shared" si="18"/>
        <v>March</v>
      </c>
      <c r="F201" s="2" t="str">
        <f t="shared" si="22"/>
        <v>Q2</v>
      </c>
      <c r="G201" s="13">
        <f t="shared" si="19"/>
        <v>6</v>
      </c>
      <c r="H201" s="12" t="s">
        <v>1986</v>
      </c>
      <c r="I201" s="1" t="s">
        <v>29</v>
      </c>
      <c r="J201" s="1" t="s">
        <v>14</v>
      </c>
      <c r="K201" s="1" t="s">
        <v>30</v>
      </c>
      <c r="L201" s="1" t="s">
        <v>432</v>
      </c>
      <c r="M201" s="10">
        <v>47.83</v>
      </c>
      <c r="N201" s="8">
        <v>7</v>
      </c>
      <c r="O201" s="6">
        <v>0.41</v>
      </c>
      <c r="P201" s="10">
        <v>-6.26</v>
      </c>
      <c r="Q201" s="11">
        <f t="shared" si="20"/>
        <v>54.089999999999996</v>
      </c>
      <c r="R201" t="str">
        <f t="shared" si="23"/>
        <v>loss</v>
      </c>
    </row>
    <row r="202" spans="1:18" ht="15.75" customHeight="1" x14ac:dyDescent="0.4">
      <c r="A202" s="1" t="s">
        <v>433</v>
      </c>
      <c r="B202" s="2">
        <v>44979</v>
      </c>
      <c r="C202" s="2">
        <v>44986</v>
      </c>
      <c r="D202" s="2" t="str">
        <f t="shared" si="21"/>
        <v>2023</v>
      </c>
      <c r="E202" s="2" t="str">
        <f t="shared" si="18"/>
        <v>March</v>
      </c>
      <c r="F202" s="2" t="str">
        <f t="shared" si="22"/>
        <v>Q2</v>
      </c>
      <c r="G202" s="13">
        <f t="shared" si="19"/>
        <v>7</v>
      </c>
      <c r="H202" s="12" t="s">
        <v>1987</v>
      </c>
      <c r="I202" s="1" t="s">
        <v>53</v>
      </c>
      <c r="J202" s="1" t="s">
        <v>25</v>
      </c>
      <c r="K202" s="1" t="s">
        <v>26</v>
      </c>
      <c r="L202" s="1" t="s">
        <v>434</v>
      </c>
      <c r="M202" s="10">
        <v>518.11</v>
      </c>
      <c r="N202" s="8">
        <v>5</v>
      </c>
      <c r="O202" s="6">
        <v>0.24</v>
      </c>
      <c r="P202" s="10">
        <v>358.45</v>
      </c>
      <c r="Q202" s="11">
        <f t="shared" si="20"/>
        <v>159.66000000000003</v>
      </c>
      <c r="R202" t="str">
        <f t="shared" si="23"/>
        <v>profit</v>
      </c>
    </row>
    <row r="203" spans="1:18" ht="15.75" customHeight="1" x14ac:dyDescent="0.4">
      <c r="A203" s="1" t="s">
        <v>435</v>
      </c>
      <c r="B203" s="2">
        <v>45485</v>
      </c>
      <c r="C203" s="2">
        <v>45493</v>
      </c>
      <c r="D203" s="2" t="str">
        <f t="shared" si="21"/>
        <v>2024</v>
      </c>
      <c r="E203" s="2" t="str">
        <f t="shared" si="18"/>
        <v>July</v>
      </c>
      <c r="F203" s="2" t="str">
        <f t="shared" si="22"/>
        <v>Q3</v>
      </c>
      <c r="G203" s="13">
        <f t="shared" si="19"/>
        <v>8</v>
      </c>
      <c r="H203" s="12" t="s">
        <v>42</v>
      </c>
      <c r="I203" s="1" t="s">
        <v>46</v>
      </c>
      <c r="J203" s="1" t="s">
        <v>14</v>
      </c>
      <c r="K203" s="1" t="s">
        <v>30</v>
      </c>
      <c r="L203" s="1" t="s">
        <v>436</v>
      </c>
      <c r="M203" s="10">
        <v>372.13</v>
      </c>
      <c r="N203" s="8">
        <v>1</v>
      </c>
      <c r="O203" s="6">
        <v>7.0000000000000007E-2</v>
      </c>
      <c r="P203" s="10">
        <v>323.79000000000002</v>
      </c>
      <c r="Q203" s="11">
        <f t="shared" si="20"/>
        <v>48.339999999999975</v>
      </c>
      <c r="R203" t="str">
        <f t="shared" si="23"/>
        <v>profit</v>
      </c>
    </row>
    <row r="204" spans="1:18" ht="15.75" customHeight="1" x14ac:dyDescent="0.4">
      <c r="A204" s="1" t="s">
        <v>437</v>
      </c>
      <c r="B204" s="2">
        <v>45354</v>
      </c>
      <c r="C204" s="2">
        <v>45356</v>
      </c>
      <c r="D204" s="2" t="str">
        <f t="shared" si="21"/>
        <v>2024</v>
      </c>
      <c r="E204" s="2" t="str">
        <f t="shared" si="18"/>
        <v>March</v>
      </c>
      <c r="F204" s="2" t="str">
        <f t="shared" si="22"/>
        <v>Q2</v>
      </c>
      <c r="G204" s="13">
        <f t="shared" si="19"/>
        <v>2</v>
      </c>
      <c r="H204" s="12" t="s">
        <v>1986</v>
      </c>
      <c r="I204" s="1" t="s">
        <v>59</v>
      </c>
      <c r="J204" s="1" t="s">
        <v>25</v>
      </c>
      <c r="K204" s="1" t="s">
        <v>26</v>
      </c>
      <c r="L204" s="1" t="s">
        <v>438</v>
      </c>
      <c r="M204" s="10">
        <v>470.46</v>
      </c>
      <c r="N204" s="8">
        <v>10</v>
      </c>
      <c r="O204" s="6">
        <v>0.45</v>
      </c>
      <c r="P204" s="10">
        <v>221.51</v>
      </c>
      <c r="Q204" s="11">
        <f t="shared" si="20"/>
        <v>248.95</v>
      </c>
      <c r="R204" t="str">
        <f t="shared" si="23"/>
        <v>profit</v>
      </c>
    </row>
    <row r="205" spans="1:18" ht="15.75" customHeight="1" x14ac:dyDescent="0.4">
      <c r="A205" s="1" t="s">
        <v>439</v>
      </c>
      <c r="B205" s="2">
        <v>45039</v>
      </c>
      <c r="C205" s="2">
        <v>45040</v>
      </c>
      <c r="D205" s="2" t="str">
        <f t="shared" si="21"/>
        <v>2023</v>
      </c>
      <c r="E205" s="2" t="str">
        <f t="shared" si="18"/>
        <v>April</v>
      </c>
      <c r="F205" s="2" t="str">
        <f t="shared" si="22"/>
        <v>Q2</v>
      </c>
      <c r="G205" s="13">
        <f t="shared" si="19"/>
        <v>1</v>
      </c>
      <c r="H205" s="12" t="s">
        <v>1987</v>
      </c>
      <c r="I205" s="1" t="s">
        <v>50</v>
      </c>
      <c r="J205" s="1" t="s">
        <v>25</v>
      </c>
      <c r="K205" s="1" t="s">
        <v>26</v>
      </c>
      <c r="L205" s="1" t="s">
        <v>440</v>
      </c>
      <c r="M205" s="10">
        <v>654.09</v>
      </c>
      <c r="N205" s="8">
        <v>10</v>
      </c>
      <c r="O205" s="6">
        <v>0.26</v>
      </c>
      <c r="P205" s="10">
        <v>449.92</v>
      </c>
      <c r="Q205" s="11">
        <f t="shared" si="20"/>
        <v>204.17000000000002</v>
      </c>
      <c r="R205" t="str">
        <f t="shared" si="23"/>
        <v>profit</v>
      </c>
    </row>
    <row r="206" spans="1:18" ht="15.75" customHeight="1" x14ac:dyDescent="0.4">
      <c r="A206" s="1" t="s">
        <v>441</v>
      </c>
      <c r="B206" s="2">
        <v>45589</v>
      </c>
      <c r="C206" s="2">
        <v>45598</v>
      </c>
      <c r="D206" s="2" t="str">
        <f t="shared" si="21"/>
        <v>2024</v>
      </c>
      <c r="E206" s="2" t="str">
        <f t="shared" si="18"/>
        <v>November</v>
      </c>
      <c r="F206" s="2" t="str">
        <f t="shared" si="22"/>
        <v>Q4</v>
      </c>
      <c r="G206" s="13">
        <f t="shared" si="19"/>
        <v>9</v>
      </c>
      <c r="H206" s="12" t="s">
        <v>1986</v>
      </c>
      <c r="I206" s="1" t="s">
        <v>29</v>
      </c>
      <c r="J206" s="1" t="s">
        <v>19</v>
      </c>
      <c r="K206" s="1" t="s">
        <v>20</v>
      </c>
      <c r="L206" s="1" t="s">
        <v>442</v>
      </c>
      <c r="M206" s="10">
        <v>309.52</v>
      </c>
      <c r="N206" s="8">
        <v>2</v>
      </c>
      <c r="O206" s="6">
        <v>0.06</v>
      </c>
      <c r="P206" s="10">
        <v>270.77999999999997</v>
      </c>
      <c r="Q206" s="11">
        <f t="shared" si="20"/>
        <v>38.740000000000009</v>
      </c>
      <c r="R206" t="str">
        <f t="shared" si="23"/>
        <v>profit</v>
      </c>
    </row>
    <row r="207" spans="1:18" ht="15.75" customHeight="1" x14ac:dyDescent="0.4">
      <c r="A207" s="1" t="s">
        <v>443</v>
      </c>
      <c r="B207" s="2">
        <v>45210</v>
      </c>
      <c r="C207" s="2">
        <v>45210</v>
      </c>
      <c r="D207" s="2" t="str">
        <f t="shared" si="21"/>
        <v>2023</v>
      </c>
      <c r="E207" s="2" t="str">
        <f t="shared" si="18"/>
        <v>October</v>
      </c>
      <c r="F207" s="2" t="str">
        <f t="shared" si="22"/>
        <v>Q4</v>
      </c>
      <c r="G207" s="13">
        <f t="shared" si="19"/>
        <v>0</v>
      </c>
      <c r="H207" s="12" t="s">
        <v>1986</v>
      </c>
      <c r="I207" s="1" t="s">
        <v>29</v>
      </c>
      <c r="J207" s="1" t="s">
        <v>14</v>
      </c>
      <c r="K207" s="1" t="s">
        <v>54</v>
      </c>
      <c r="L207" s="1" t="s">
        <v>444</v>
      </c>
      <c r="M207" s="10">
        <v>124.59</v>
      </c>
      <c r="N207" s="8">
        <v>10</v>
      </c>
      <c r="O207" s="6">
        <v>0.18</v>
      </c>
      <c r="P207" s="10">
        <v>59.42</v>
      </c>
      <c r="Q207" s="11">
        <f t="shared" si="20"/>
        <v>65.17</v>
      </c>
      <c r="R207" t="str">
        <f t="shared" si="23"/>
        <v>profit</v>
      </c>
    </row>
    <row r="208" spans="1:18" ht="15.75" customHeight="1" x14ac:dyDescent="0.4">
      <c r="A208" s="1" t="s">
        <v>445</v>
      </c>
      <c r="B208" s="2">
        <v>45324</v>
      </c>
      <c r="C208" s="2">
        <v>45332</v>
      </c>
      <c r="D208" s="2" t="str">
        <f t="shared" si="21"/>
        <v>2024</v>
      </c>
      <c r="E208" s="2" t="str">
        <f t="shared" si="18"/>
        <v>February</v>
      </c>
      <c r="F208" s="2" t="str">
        <f t="shared" si="22"/>
        <v>Q1</v>
      </c>
      <c r="G208" s="13">
        <f t="shared" si="19"/>
        <v>8</v>
      </c>
      <c r="H208" s="12" t="s">
        <v>23</v>
      </c>
      <c r="I208" s="1" t="s">
        <v>50</v>
      </c>
      <c r="J208" s="1" t="s">
        <v>14</v>
      </c>
      <c r="K208" s="1" t="s">
        <v>54</v>
      </c>
      <c r="L208" s="1" t="s">
        <v>446</v>
      </c>
      <c r="M208" s="10">
        <v>986.64</v>
      </c>
      <c r="N208" s="8">
        <v>2</v>
      </c>
      <c r="O208" s="6">
        <v>0.01</v>
      </c>
      <c r="P208" s="10">
        <v>945.53</v>
      </c>
      <c r="Q208" s="11">
        <f t="shared" si="20"/>
        <v>41.110000000000014</v>
      </c>
      <c r="R208" t="str">
        <f t="shared" si="23"/>
        <v>profit</v>
      </c>
    </row>
    <row r="209" spans="1:18" ht="15.75" customHeight="1" x14ac:dyDescent="0.4">
      <c r="A209" s="1" t="s">
        <v>447</v>
      </c>
      <c r="B209" s="2">
        <v>45532</v>
      </c>
      <c r="C209" s="2">
        <v>45540</v>
      </c>
      <c r="D209" s="2" t="str">
        <f t="shared" si="21"/>
        <v>2024</v>
      </c>
      <c r="E209" s="2" t="str">
        <f t="shared" si="18"/>
        <v>September</v>
      </c>
      <c r="F209" s="2" t="str">
        <f t="shared" si="22"/>
        <v>Q4</v>
      </c>
      <c r="G209" s="13">
        <f t="shared" si="19"/>
        <v>8</v>
      </c>
      <c r="H209" s="12" t="s">
        <v>1987</v>
      </c>
      <c r="I209" s="1" t="s">
        <v>24</v>
      </c>
      <c r="J209" s="1" t="s">
        <v>19</v>
      </c>
      <c r="K209" s="1" t="s">
        <v>92</v>
      </c>
      <c r="L209" s="1" t="s">
        <v>448</v>
      </c>
      <c r="M209" s="10">
        <v>838.58</v>
      </c>
      <c r="N209" s="8">
        <v>4</v>
      </c>
      <c r="O209" s="6">
        <v>0.26</v>
      </c>
      <c r="P209" s="10">
        <v>589.73</v>
      </c>
      <c r="Q209" s="11">
        <f t="shared" si="20"/>
        <v>248.85000000000002</v>
      </c>
      <c r="R209" t="str">
        <f t="shared" si="23"/>
        <v>profit</v>
      </c>
    </row>
    <row r="210" spans="1:18" ht="15.75" customHeight="1" x14ac:dyDescent="0.4">
      <c r="A210" s="3" t="s">
        <v>449</v>
      </c>
      <c r="B210" s="2">
        <v>45459</v>
      </c>
      <c r="C210" s="2">
        <v>45459</v>
      </c>
      <c r="D210" s="2" t="str">
        <f t="shared" si="21"/>
        <v>2024</v>
      </c>
      <c r="E210" s="2" t="str">
        <f t="shared" si="18"/>
        <v>June</v>
      </c>
      <c r="F210" s="2" t="str">
        <f t="shared" si="22"/>
        <v>Q3</v>
      </c>
      <c r="G210" s="13">
        <f t="shared" si="19"/>
        <v>0</v>
      </c>
      <c r="H210" s="12" t="s">
        <v>23</v>
      </c>
      <c r="I210" s="1" t="s">
        <v>29</v>
      </c>
      <c r="J210" s="1" t="s">
        <v>19</v>
      </c>
      <c r="K210" s="1" t="s">
        <v>20</v>
      </c>
      <c r="L210" s="1" t="s">
        <v>450</v>
      </c>
      <c r="M210" s="10">
        <v>491.8</v>
      </c>
      <c r="N210" s="8">
        <v>4</v>
      </c>
      <c r="O210" s="6">
        <v>0.42</v>
      </c>
      <c r="P210" s="10">
        <v>264.76</v>
      </c>
      <c r="Q210" s="11">
        <f t="shared" si="20"/>
        <v>227.04000000000002</v>
      </c>
      <c r="R210" t="str">
        <f t="shared" si="23"/>
        <v>profit</v>
      </c>
    </row>
    <row r="211" spans="1:18" ht="15.75" customHeight="1" x14ac:dyDescent="0.4">
      <c r="A211" s="1" t="s">
        <v>451</v>
      </c>
      <c r="C211" s="2">
        <v>45574</v>
      </c>
      <c r="D211" s="2" t="str">
        <f t="shared" si="21"/>
        <v/>
      </c>
      <c r="E211" s="2" t="str">
        <f t="shared" si="18"/>
        <v>October</v>
      </c>
      <c r="F211" s="2" t="str">
        <f t="shared" si="22"/>
        <v>Q4</v>
      </c>
      <c r="G211" s="13">
        <f t="shared" si="19"/>
        <v>45574</v>
      </c>
      <c r="H211" s="12" t="s">
        <v>1988</v>
      </c>
      <c r="I211" s="1" t="s">
        <v>24</v>
      </c>
      <c r="J211" s="1" t="s">
        <v>14</v>
      </c>
      <c r="K211" s="1" t="s">
        <v>30</v>
      </c>
      <c r="L211" s="1" t="s">
        <v>452</v>
      </c>
      <c r="M211" s="11" t="s">
        <v>1989</v>
      </c>
      <c r="N211" s="8">
        <v>1</v>
      </c>
      <c r="O211" s="6">
        <v>0.12</v>
      </c>
      <c r="P211" s="10">
        <v>673.49</v>
      </c>
      <c r="Q211" s="11" t="e">
        <f t="shared" si="20"/>
        <v>#VALUE!</v>
      </c>
      <c r="R211" t="str">
        <f t="shared" si="23"/>
        <v>profit</v>
      </c>
    </row>
    <row r="212" spans="1:18" ht="15.75" customHeight="1" x14ac:dyDescent="0.4">
      <c r="A212" s="1" t="s">
        <v>453</v>
      </c>
      <c r="B212" s="2">
        <v>44920</v>
      </c>
      <c r="C212" s="2">
        <v>44926</v>
      </c>
      <c r="D212" s="2" t="str">
        <f t="shared" si="21"/>
        <v>2022</v>
      </c>
      <c r="E212" s="2" t="str">
        <f t="shared" si="18"/>
        <v>December</v>
      </c>
      <c r="F212" s="2" t="str">
        <f t="shared" si="22"/>
        <v>Q4</v>
      </c>
      <c r="G212" s="13">
        <f t="shared" si="19"/>
        <v>6</v>
      </c>
      <c r="H212" s="12" t="s">
        <v>1986</v>
      </c>
      <c r="I212" s="1" t="s">
        <v>50</v>
      </c>
      <c r="J212" s="1" t="s">
        <v>25</v>
      </c>
      <c r="K212" s="1" t="s">
        <v>47</v>
      </c>
      <c r="L212" s="1" t="s">
        <v>454</v>
      </c>
      <c r="M212" s="10">
        <v>394.83</v>
      </c>
      <c r="N212" s="8">
        <v>10</v>
      </c>
      <c r="O212" s="6">
        <v>0.46</v>
      </c>
      <c r="P212" s="10">
        <v>165.83</v>
      </c>
      <c r="Q212" s="11">
        <f t="shared" si="20"/>
        <v>228.99999999999997</v>
      </c>
      <c r="R212" t="str">
        <f t="shared" si="23"/>
        <v>profit</v>
      </c>
    </row>
    <row r="213" spans="1:18" ht="15.75" customHeight="1" x14ac:dyDescent="0.4">
      <c r="A213" s="1" t="s">
        <v>455</v>
      </c>
      <c r="B213" s="2">
        <v>44960</v>
      </c>
      <c r="C213" s="2">
        <v>44969</v>
      </c>
      <c r="D213" s="2" t="str">
        <f t="shared" si="21"/>
        <v>2023</v>
      </c>
      <c r="E213" s="2" t="str">
        <f t="shared" si="18"/>
        <v>February</v>
      </c>
      <c r="F213" s="2" t="str">
        <f t="shared" si="22"/>
        <v>Q1</v>
      </c>
      <c r="G213" s="13">
        <f t="shared" si="19"/>
        <v>9</v>
      </c>
      <c r="H213" s="12" t="s">
        <v>1986</v>
      </c>
      <c r="I213" s="1" t="s">
        <v>53</v>
      </c>
      <c r="J213" s="1" t="s">
        <v>19</v>
      </c>
      <c r="K213" s="1" t="s">
        <v>20</v>
      </c>
      <c r="L213" s="1" t="s">
        <v>456</v>
      </c>
      <c r="M213" s="10">
        <v>117.41</v>
      </c>
      <c r="N213" s="8">
        <v>9</v>
      </c>
      <c r="O213" s="6">
        <v>7.0000000000000007E-2</v>
      </c>
      <c r="P213" s="10">
        <v>74.89</v>
      </c>
      <c r="Q213" s="11">
        <f t="shared" si="20"/>
        <v>42.519999999999996</v>
      </c>
      <c r="R213" t="str">
        <f t="shared" si="23"/>
        <v>profit</v>
      </c>
    </row>
    <row r="214" spans="1:18" ht="15.75" customHeight="1" x14ac:dyDescent="0.4">
      <c r="A214" s="1" t="s">
        <v>457</v>
      </c>
      <c r="B214" s="2">
        <v>45377</v>
      </c>
      <c r="C214" s="2">
        <v>45381</v>
      </c>
      <c r="D214" s="2" t="str">
        <f t="shared" si="21"/>
        <v>2024</v>
      </c>
      <c r="E214" s="2" t="str">
        <f t="shared" si="18"/>
        <v>March</v>
      </c>
      <c r="F214" s="2" t="str">
        <f t="shared" si="22"/>
        <v>Q2</v>
      </c>
      <c r="G214" s="13">
        <f t="shared" si="19"/>
        <v>4</v>
      </c>
      <c r="H214" s="12" t="s">
        <v>1987</v>
      </c>
      <c r="I214" s="1" t="s">
        <v>46</v>
      </c>
      <c r="J214" s="1" t="s">
        <v>19</v>
      </c>
      <c r="K214" s="1" t="s">
        <v>35</v>
      </c>
      <c r="L214" s="1" t="s">
        <v>458</v>
      </c>
      <c r="M214" s="10">
        <v>43.52</v>
      </c>
      <c r="N214" s="8">
        <v>1</v>
      </c>
      <c r="O214" s="6">
        <v>0.39</v>
      </c>
      <c r="P214" s="10">
        <v>8.56</v>
      </c>
      <c r="Q214" s="11">
        <f t="shared" si="20"/>
        <v>34.96</v>
      </c>
      <c r="R214" t="str">
        <f t="shared" si="23"/>
        <v>profit</v>
      </c>
    </row>
    <row r="215" spans="1:18" ht="15.75" customHeight="1" x14ac:dyDescent="0.4">
      <c r="A215" s="3" t="s">
        <v>459</v>
      </c>
      <c r="B215" s="2">
        <v>44911</v>
      </c>
      <c r="C215" s="2">
        <v>44915</v>
      </c>
      <c r="D215" s="2" t="str">
        <f t="shared" si="21"/>
        <v>2022</v>
      </c>
      <c r="E215" s="2" t="str">
        <f t="shared" si="18"/>
        <v>December</v>
      </c>
      <c r="F215" s="2" t="str">
        <f t="shared" si="22"/>
        <v>Q4</v>
      </c>
      <c r="G215" s="13">
        <f t="shared" si="19"/>
        <v>4</v>
      </c>
      <c r="H215" s="12" t="s">
        <v>42</v>
      </c>
      <c r="I215" s="1" t="s">
        <v>59</v>
      </c>
      <c r="J215" s="1" t="s">
        <v>19</v>
      </c>
      <c r="K215" s="1" t="s">
        <v>35</v>
      </c>
      <c r="L215" s="1" t="s">
        <v>460</v>
      </c>
      <c r="M215" s="10">
        <v>405.07</v>
      </c>
      <c r="N215" s="8">
        <v>8</v>
      </c>
      <c r="O215" s="6">
        <v>0.21</v>
      </c>
      <c r="P215" s="10">
        <v>285.45</v>
      </c>
      <c r="Q215" s="11">
        <f t="shared" si="20"/>
        <v>119.62</v>
      </c>
      <c r="R215" t="str">
        <f t="shared" si="23"/>
        <v>profit</v>
      </c>
    </row>
    <row r="216" spans="1:18" ht="15.75" customHeight="1" x14ac:dyDescent="0.4">
      <c r="A216" s="1" t="s">
        <v>461</v>
      </c>
      <c r="B216" s="2">
        <v>45305</v>
      </c>
      <c r="C216" s="2">
        <v>45312</v>
      </c>
      <c r="D216" s="2" t="str">
        <f t="shared" si="21"/>
        <v>2024</v>
      </c>
      <c r="E216" s="2" t="str">
        <f t="shared" si="18"/>
        <v>January</v>
      </c>
      <c r="F216" s="2" t="str">
        <f t="shared" si="22"/>
        <v>Q1</v>
      </c>
      <c r="G216" s="13">
        <f t="shared" si="19"/>
        <v>7</v>
      </c>
      <c r="H216" s="12" t="s">
        <v>23</v>
      </c>
      <c r="I216" s="1" t="s">
        <v>50</v>
      </c>
      <c r="J216" s="1" t="s">
        <v>25</v>
      </c>
      <c r="K216" s="1" t="s">
        <v>47</v>
      </c>
      <c r="L216" s="1" t="s">
        <v>462</v>
      </c>
      <c r="M216" s="10">
        <v>105</v>
      </c>
      <c r="N216" s="8">
        <v>4</v>
      </c>
      <c r="O216" s="6">
        <v>0.28999999999999998</v>
      </c>
      <c r="P216" s="10">
        <v>32.01</v>
      </c>
      <c r="Q216" s="11">
        <f t="shared" si="20"/>
        <v>72.990000000000009</v>
      </c>
      <c r="R216" t="str">
        <f t="shared" si="23"/>
        <v>profit</v>
      </c>
    </row>
    <row r="217" spans="1:18" ht="15.75" customHeight="1" x14ac:dyDescent="0.4">
      <c r="A217" s="1" t="s">
        <v>463</v>
      </c>
      <c r="B217" s="2">
        <v>45564</v>
      </c>
      <c r="C217" s="2">
        <v>45568</v>
      </c>
      <c r="D217" s="2" t="str">
        <f t="shared" si="21"/>
        <v>2024</v>
      </c>
      <c r="E217" s="2" t="str">
        <f t="shared" si="18"/>
        <v>October</v>
      </c>
      <c r="F217" s="2" t="str">
        <f t="shared" si="22"/>
        <v>Q4</v>
      </c>
      <c r="G217" s="13">
        <f t="shared" si="19"/>
        <v>4</v>
      </c>
      <c r="H217" s="12" t="s">
        <v>1987</v>
      </c>
      <c r="I217" s="1" t="s">
        <v>29</v>
      </c>
      <c r="J217" s="1" t="s">
        <v>19</v>
      </c>
      <c r="K217" s="1" t="s">
        <v>35</v>
      </c>
      <c r="L217" s="1" t="s">
        <v>464</v>
      </c>
      <c r="M217" s="10">
        <v>851.73</v>
      </c>
      <c r="N217" s="8">
        <v>3</v>
      </c>
      <c r="O217" s="6">
        <v>0.09</v>
      </c>
      <c r="P217" s="10">
        <v>727.83</v>
      </c>
      <c r="Q217" s="11">
        <f t="shared" si="20"/>
        <v>123.89999999999998</v>
      </c>
      <c r="R217" t="str">
        <f t="shared" si="23"/>
        <v>profit</v>
      </c>
    </row>
    <row r="218" spans="1:18" ht="15.75" customHeight="1" x14ac:dyDescent="0.4">
      <c r="A218" s="1" t="s">
        <v>465</v>
      </c>
      <c r="B218" s="2">
        <v>45135</v>
      </c>
      <c r="C218" s="2">
        <v>45138</v>
      </c>
      <c r="D218" s="2" t="str">
        <f t="shared" si="21"/>
        <v>2023</v>
      </c>
      <c r="E218" s="2" t="str">
        <f t="shared" si="18"/>
        <v>July</v>
      </c>
      <c r="F218" s="2" t="str">
        <f t="shared" si="22"/>
        <v>Q3</v>
      </c>
      <c r="G218" s="13">
        <f t="shared" si="19"/>
        <v>3</v>
      </c>
      <c r="H218" s="12" t="s">
        <v>42</v>
      </c>
      <c r="I218" s="1" t="s">
        <v>18</v>
      </c>
      <c r="J218" s="1" t="s">
        <v>14</v>
      </c>
      <c r="K218" s="1" t="s">
        <v>54</v>
      </c>
      <c r="L218" s="1" t="s">
        <v>466</v>
      </c>
      <c r="M218" s="10">
        <v>61.95</v>
      </c>
      <c r="N218" s="8">
        <v>5</v>
      </c>
      <c r="O218" s="6">
        <v>0.15</v>
      </c>
      <c r="P218" s="10">
        <v>7.93</v>
      </c>
      <c r="Q218" s="11">
        <f t="shared" si="20"/>
        <v>54.02</v>
      </c>
      <c r="R218" t="str">
        <f t="shared" si="23"/>
        <v>profit</v>
      </c>
    </row>
    <row r="219" spans="1:18" ht="15.75" customHeight="1" x14ac:dyDescent="0.4">
      <c r="A219" s="1" t="s">
        <v>467</v>
      </c>
      <c r="B219" s="2">
        <v>45625</v>
      </c>
      <c r="C219" s="2">
        <v>45627</v>
      </c>
      <c r="D219" s="2" t="str">
        <f t="shared" si="21"/>
        <v>2024</v>
      </c>
      <c r="E219" s="2" t="str">
        <f t="shared" si="18"/>
        <v>December</v>
      </c>
      <c r="F219" s="2" t="str">
        <f t="shared" si="22"/>
        <v>Q4</v>
      </c>
      <c r="G219" s="13">
        <f t="shared" si="19"/>
        <v>2</v>
      </c>
      <c r="H219" s="12" t="s">
        <v>23</v>
      </c>
      <c r="I219" s="1" t="s">
        <v>46</v>
      </c>
      <c r="J219" s="1" t="s">
        <v>25</v>
      </c>
      <c r="K219" s="1" t="s">
        <v>47</v>
      </c>
      <c r="L219" s="1" t="s">
        <v>468</v>
      </c>
      <c r="M219" s="10">
        <v>953.34</v>
      </c>
      <c r="N219" s="8">
        <v>7</v>
      </c>
      <c r="O219" s="6">
        <v>0.32</v>
      </c>
      <c r="P219" s="10">
        <v>625.04</v>
      </c>
      <c r="Q219" s="11">
        <f t="shared" si="20"/>
        <v>328.30000000000007</v>
      </c>
      <c r="R219" t="str">
        <f t="shared" si="23"/>
        <v>profit</v>
      </c>
    </row>
    <row r="220" spans="1:18" ht="15.75" customHeight="1" x14ac:dyDescent="0.4">
      <c r="A220" s="1" t="s">
        <v>469</v>
      </c>
      <c r="B220" s="2">
        <v>45444</v>
      </c>
      <c r="C220" s="2">
        <v>45450</v>
      </c>
      <c r="D220" s="2" t="str">
        <f t="shared" si="21"/>
        <v>2024</v>
      </c>
      <c r="E220" s="2" t="str">
        <f t="shared" si="18"/>
        <v>June</v>
      </c>
      <c r="F220" s="2" t="str">
        <f t="shared" si="22"/>
        <v>Q3</v>
      </c>
      <c r="G220" s="13">
        <f t="shared" si="19"/>
        <v>6</v>
      </c>
      <c r="H220" s="12" t="s">
        <v>1987</v>
      </c>
      <c r="I220" s="1" t="s">
        <v>59</v>
      </c>
      <c r="J220" s="1" t="s">
        <v>25</v>
      </c>
      <c r="K220" s="1" t="s">
        <v>26</v>
      </c>
      <c r="L220" s="1" t="s">
        <v>470</v>
      </c>
      <c r="M220" s="10">
        <v>746.68</v>
      </c>
      <c r="N220" s="8">
        <v>6</v>
      </c>
      <c r="O220" s="6">
        <v>0.41</v>
      </c>
      <c r="P220" s="10">
        <v>408.03</v>
      </c>
      <c r="Q220" s="11">
        <f t="shared" si="20"/>
        <v>338.65</v>
      </c>
      <c r="R220" t="str">
        <f t="shared" si="23"/>
        <v>profit</v>
      </c>
    </row>
    <row r="221" spans="1:18" ht="15.75" customHeight="1" x14ac:dyDescent="0.4">
      <c r="A221" s="1" t="s">
        <v>471</v>
      </c>
      <c r="B221" s="2">
        <v>45418</v>
      </c>
      <c r="C221" s="2">
        <v>45424</v>
      </c>
      <c r="D221" s="2" t="str">
        <f t="shared" si="21"/>
        <v>2024</v>
      </c>
      <c r="E221" s="2" t="str">
        <f t="shared" si="18"/>
        <v>May</v>
      </c>
      <c r="F221" s="2" t="str">
        <f t="shared" si="22"/>
        <v>Q2</v>
      </c>
      <c r="G221" s="13">
        <f t="shared" si="19"/>
        <v>6</v>
      </c>
      <c r="H221" s="12" t="s">
        <v>1987</v>
      </c>
      <c r="I221" s="1" t="s">
        <v>13</v>
      </c>
      <c r="J221" s="1" t="s">
        <v>25</v>
      </c>
      <c r="K221" s="1" t="s">
        <v>26</v>
      </c>
      <c r="L221" s="1" t="s">
        <v>472</v>
      </c>
      <c r="M221" s="10">
        <v>632.36</v>
      </c>
      <c r="N221" s="8">
        <v>10</v>
      </c>
      <c r="O221" s="6">
        <v>0.32</v>
      </c>
      <c r="P221" s="10">
        <v>418.55</v>
      </c>
      <c r="Q221" s="11">
        <f t="shared" si="20"/>
        <v>213.81</v>
      </c>
      <c r="R221" t="str">
        <f t="shared" si="23"/>
        <v>profit</v>
      </c>
    </row>
    <row r="222" spans="1:18" ht="15.75" customHeight="1" x14ac:dyDescent="0.4">
      <c r="A222" s="1" t="s">
        <v>473</v>
      </c>
      <c r="B222" s="2">
        <v>45489</v>
      </c>
      <c r="C222" s="2">
        <v>45490</v>
      </c>
      <c r="D222" s="2" t="str">
        <f t="shared" si="21"/>
        <v>2024</v>
      </c>
      <c r="E222" s="2" t="str">
        <f t="shared" si="18"/>
        <v>July</v>
      </c>
      <c r="F222" s="2" t="str">
        <f t="shared" si="22"/>
        <v>Q3</v>
      </c>
      <c r="G222" s="13">
        <f t="shared" si="19"/>
        <v>1</v>
      </c>
      <c r="H222" s="12" t="s">
        <v>23</v>
      </c>
      <c r="I222" s="1" t="s">
        <v>29</v>
      </c>
      <c r="J222" s="1" t="s">
        <v>19</v>
      </c>
      <c r="K222" s="1" t="s">
        <v>35</v>
      </c>
      <c r="L222" s="1" t="s">
        <v>474</v>
      </c>
      <c r="M222" s="10">
        <v>855.27</v>
      </c>
      <c r="N222" s="8">
        <v>1</v>
      </c>
      <c r="O222" s="6">
        <v>0.45</v>
      </c>
      <c r="P222" s="10">
        <v>441.32</v>
      </c>
      <c r="Q222" s="11">
        <f t="shared" si="20"/>
        <v>413.95</v>
      </c>
      <c r="R222" t="str">
        <f t="shared" si="23"/>
        <v>profit</v>
      </c>
    </row>
    <row r="223" spans="1:18" ht="15.75" customHeight="1" x14ac:dyDescent="0.4">
      <c r="A223" s="1" t="s">
        <v>475</v>
      </c>
      <c r="B223" s="2">
        <v>45260</v>
      </c>
      <c r="C223" s="2">
        <v>45269</v>
      </c>
      <c r="D223" s="2" t="str">
        <f t="shared" si="21"/>
        <v>2023</v>
      </c>
      <c r="E223" s="2" t="str">
        <f t="shared" si="18"/>
        <v>December</v>
      </c>
      <c r="F223" s="2" t="str">
        <f t="shared" si="22"/>
        <v>Q4</v>
      </c>
      <c r="G223" s="13">
        <f t="shared" si="19"/>
        <v>9</v>
      </c>
      <c r="H223" s="12" t="s">
        <v>1986</v>
      </c>
      <c r="I223" s="1" t="s">
        <v>29</v>
      </c>
      <c r="J223" s="1" t="s">
        <v>14</v>
      </c>
      <c r="K223" s="1" t="s">
        <v>54</v>
      </c>
      <c r="L223" s="1" t="s">
        <v>476</v>
      </c>
      <c r="M223" s="10">
        <v>818.94</v>
      </c>
      <c r="N223" s="8">
        <v>1</v>
      </c>
      <c r="O223" s="6">
        <v>0.01</v>
      </c>
      <c r="P223" s="10">
        <v>772.17</v>
      </c>
      <c r="Q223" s="11">
        <f t="shared" si="20"/>
        <v>46.770000000000095</v>
      </c>
      <c r="R223" t="str">
        <f t="shared" si="23"/>
        <v>profit</v>
      </c>
    </row>
    <row r="224" spans="1:18" ht="15.75" customHeight="1" x14ac:dyDescent="0.4">
      <c r="A224" s="1" t="s">
        <v>477</v>
      </c>
      <c r="B224" s="2">
        <v>45568</v>
      </c>
      <c r="C224" s="2">
        <v>45570</v>
      </c>
      <c r="D224" s="2" t="str">
        <f t="shared" si="21"/>
        <v>2024</v>
      </c>
      <c r="E224" s="2" t="str">
        <f t="shared" si="18"/>
        <v>October</v>
      </c>
      <c r="F224" s="2" t="str">
        <f t="shared" si="22"/>
        <v>Q4</v>
      </c>
      <c r="G224" s="13">
        <f t="shared" si="19"/>
        <v>2</v>
      </c>
      <c r="H224" s="12" t="s">
        <v>42</v>
      </c>
      <c r="I224" s="1" t="s">
        <v>59</v>
      </c>
      <c r="J224" s="1" t="s">
        <v>25</v>
      </c>
      <c r="K224" s="1" t="s">
        <v>47</v>
      </c>
      <c r="L224" s="1" t="s">
        <v>478</v>
      </c>
      <c r="M224" s="10">
        <v>960.7</v>
      </c>
      <c r="N224" s="8">
        <v>5</v>
      </c>
      <c r="O224" s="6">
        <v>0.32</v>
      </c>
      <c r="P224" s="10">
        <v>618.32000000000005</v>
      </c>
      <c r="Q224" s="11">
        <f t="shared" si="20"/>
        <v>342.38</v>
      </c>
      <c r="R224" t="str">
        <f t="shared" si="23"/>
        <v>profit</v>
      </c>
    </row>
    <row r="225" spans="1:18" ht="15.75" customHeight="1" x14ac:dyDescent="0.4">
      <c r="A225" s="1" t="s">
        <v>479</v>
      </c>
      <c r="B225" s="2">
        <v>45151</v>
      </c>
      <c r="C225" s="2">
        <v>45153</v>
      </c>
      <c r="D225" s="2" t="str">
        <f t="shared" si="21"/>
        <v>2023</v>
      </c>
      <c r="E225" s="2" t="str">
        <f t="shared" si="18"/>
        <v>August</v>
      </c>
      <c r="F225" s="2" t="str">
        <f t="shared" si="22"/>
        <v>Q3</v>
      </c>
      <c r="G225" s="13">
        <f t="shared" si="19"/>
        <v>2</v>
      </c>
      <c r="H225" s="12" t="s">
        <v>23</v>
      </c>
      <c r="I225" s="1" t="s">
        <v>13</v>
      </c>
      <c r="J225" s="1" t="s">
        <v>25</v>
      </c>
      <c r="K225" s="1" t="s">
        <v>43</v>
      </c>
      <c r="L225" s="1" t="s">
        <v>480</v>
      </c>
      <c r="M225" s="10">
        <v>165.07</v>
      </c>
      <c r="N225" s="8">
        <v>6</v>
      </c>
      <c r="O225" s="6">
        <v>0.23</v>
      </c>
      <c r="P225" s="10">
        <v>92.77</v>
      </c>
      <c r="Q225" s="11">
        <f t="shared" si="20"/>
        <v>72.3</v>
      </c>
      <c r="R225" t="str">
        <f t="shared" si="23"/>
        <v>profit</v>
      </c>
    </row>
    <row r="226" spans="1:18" ht="15.75" customHeight="1" x14ac:dyDescent="0.4">
      <c r="A226" s="1" t="s">
        <v>481</v>
      </c>
      <c r="B226" s="2">
        <v>45206</v>
      </c>
      <c r="C226" s="2">
        <v>45214</v>
      </c>
      <c r="D226" s="2" t="str">
        <f t="shared" si="21"/>
        <v>2023</v>
      </c>
      <c r="E226" s="2" t="str">
        <f t="shared" si="18"/>
        <v>October</v>
      </c>
      <c r="F226" s="2" t="str">
        <f t="shared" si="22"/>
        <v>Q4</v>
      </c>
      <c r="G226" s="13">
        <f t="shared" si="19"/>
        <v>8</v>
      </c>
      <c r="H226" s="12" t="s">
        <v>42</v>
      </c>
      <c r="I226" s="1" t="s">
        <v>53</v>
      </c>
      <c r="J226" s="1" t="s">
        <v>19</v>
      </c>
      <c r="K226" s="1" t="s">
        <v>35</v>
      </c>
      <c r="L226" s="1" t="s">
        <v>482</v>
      </c>
      <c r="M226" s="10">
        <v>658.79</v>
      </c>
      <c r="N226" s="8">
        <v>9</v>
      </c>
      <c r="O226" s="6">
        <v>0.23</v>
      </c>
      <c r="P226" s="10">
        <v>467.91</v>
      </c>
      <c r="Q226" s="11">
        <f t="shared" si="20"/>
        <v>190.87999999999994</v>
      </c>
      <c r="R226" t="str">
        <f t="shared" si="23"/>
        <v>profit</v>
      </c>
    </row>
    <row r="227" spans="1:18" ht="15.75" customHeight="1" x14ac:dyDescent="0.4">
      <c r="A227" s="1" t="s">
        <v>483</v>
      </c>
      <c r="B227" s="2">
        <v>45545</v>
      </c>
      <c r="C227" s="2">
        <v>45548</v>
      </c>
      <c r="D227" s="2" t="str">
        <f t="shared" si="21"/>
        <v>2024</v>
      </c>
      <c r="E227" s="2" t="str">
        <f t="shared" si="18"/>
        <v>September</v>
      </c>
      <c r="F227" s="2" t="str">
        <f t="shared" si="22"/>
        <v>Q4</v>
      </c>
      <c r="G227" s="13">
        <f t="shared" si="19"/>
        <v>3</v>
      </c>
      <c r="H227" s="12" t="s">
        <v>42</v>
      </c>
      <c r="I227" s="1" t="s">
        <v>53</v>
      </c>
      <c r="J227" s="1" t="s">
        <v>14</v>
      </c>
      <c r="K227" s="1" t="s">
        <v>15</v>
      </c>
      <c r="L227" s="1" t="s">
        <v>484</v>
      </c>
      <c r="M227" s="10">
        <v>109.36</v>
      </c>
      <c r="N227" s="8">
        <v>8</v>
      </c>
      <c r="O227" s="6">
        <v>0.19</v>
      </c>
      <c r="P227" s="10">
        <v>54.69</v>
      </c>
      <c r="Q227" s="11">
        <f t="shared" si="20"/>
        <v>54.67</v>
      </c>
      <c r="R227" t="str">
        <f t="shared" si="23"/>
        <v>profit</v>
      </c>
    </row>
    <row r="228" spans="1:18" ht="15.75" customHeight="1" x14ac:dyDescent="0.4">
      <c r="A228" s="1" t="s">
        <v>485</v>
      </c>
      <c r="B228" s="2">
        <v>45016</v>
      </c>
      <c r="C228" s="2">
        <v>45017</v>
      </c>
      <c r="D228" s="2" t="str">
        <f t="shared" si="21"/>
        <v>2023</v>
      </c>
      <c r="E228" s="2" t="str">
        <f t="shared" si="18"/>
        <v>April</v>
      </c>
      <c r="F228" s="2" t="str">
        <f t="shared" si="22"/>
        <v>Q2</v>
      </c>
      <c r="G228" s="13">
        <f t="shared" si="19"/>
        <v>1</v>
      </c>
      <c r="H228" s="12" t="s">
        <v>42</v>
      </c>
      <c r="I228" s="1" t="s">
        <v>13</v>
      </c>
      <c r="J228" s="1" t="s">
        <v>19</v>
      </c>
      <c r="K228" s="1" t="s">
        <v>35</v>
      </c>
      <c r="L228" s="1" t="s">
        <v>486</v>
      </c>
      <c r="M228" s="10">
        <v>244.58</v>
      </c>
      <c r="N228" s="8">
        <v>2</v>
      </c>
      <c r="O228" s="6">
        <v>0.1</v>
      </c>
      <c r="P228" s="10">
        <v>202.3</v>
      </c>
      <c r="Q228" s="11">
        <f t="shared" si="20"/>
        <v>42.28</v>
      </c>
      <c r="R228" t="str">
        <f t="shared" si="23"/>
        <v>profit</v>
      </c>
    </row>
    <row r="229" spans="1:18" ht="15.75" customHeight="1" x14ac:dyDescent="0.4">
      <c r="A229" s="1" t="s">
        <v>487</v>
      </c>
      <c r="B229" s="2">
        <v>45187</v>
      </c>
      <c r="C229" s="2">
        <v>45195</v>
      </c>
      <c r="D229" s="2" t="str">
        <f t="shared" si="21"/>
        <v>2023</v>
      </c>
      <c r="E229" s="2" t="str">
        <f t="shared" si="18"/>
        <v>September</v>
      </c>
      <c r="F229" s="2" t="str">
        <f t="shared" si="22"/>
        <v>Q4</v>
      </c>
      <c r="G229" s="13">
        <f t="shared" si="19"/>
        <v>8</v>
      </c>
      <c r="H229" s="12" t="s">
        <v>23</v>
      </c>
      <c r="I229" s="1" t="s">
        <v>13</v>
      </c>
      <c r="J229" s="1" t="s">
        <v>25</v>
      </c>
      <c r="K229" s="1" t="s">
        <v>47</v>
      </c>
      <c r="L229" s="1" t="s">
        <v>488</v>
      </c>
      <c r="M229" s="10">
        <v>356.16</v>
      </c>
      <c r="N229" s="8">
        <v>7</v>
      </c>
      <c r="O229" s="6">
        <v>0.15</v>
      </c>
      <c r="P229" s="10">
        <v>264.33</v>
      </c>
      <c r="Q229" s="11">
        <f t="shared" si="20"/>
        <v>91.830000000000041</v>
      </c>
      <c r="R229" t="str">
        <f t="shared" si="23"/>
        <v>profit</v>
      </c>
    </row>
    <row r="230" spans="1:18" ht="15.75" customHeight="1" x14ac:dyDescent="0.4">
      <c r="A230" s="1" t="s">
        <v>489</v>
      </c>
      <c r="B230" s="2">
        <v>44905</v>
      </c>
      <c r="C230" s="2">
        <v>44910</v>
      </c>
      <c r="D230" s="2" t="str">
        <f t="shared" si="21"/>
        <v>2022</v>
      </c>
      <c r="E230" s="2" t="str">
        <f t="shared" si="18"/>
        <v>December</v>
      </c>
      <c r="F230" s="2" t="str">
        <f t="shared" si="22"/>
        <v>Q4</v>
      </c>
      <c r="G230" s="13">
        <f t="shared" si="19"/>
        <v>5</v>
      </c>
      <c r="H230" s="12" t="s">
        <v>1986</v>
      </c>
      <c r="I230" s="1" t="s">
        <v>46</v>
      </c>
      <c r="J230" s="1" t="s">
        <v>19</v>
      </c>
      <c r="K230" s="1" t="s">
        <v>92</v>
      </c>
      <c r="L230" s="1" t="s">
        <v>490</v>
      </c>
      <c r="M230" s="10">
        <v>42.78</v>
      </c>
      <c r="N230" s="8">
        <v>9</v>
      </c>
      <c r="O230" s="6">
        <v>0.03</v>
      </c>
      <c r="P230" s="10">
        <v>30.36</v>
      </c>
      <c r="Q230" s="11">
        <f t="shared" si="20"/>
        <v>12.420000000000002</v>
      </c>
      <c r="R230" t="str">
        <f t="shared" si="23"/>
        <v>profit</v>
      </c>
    </row>
    <row r="231" spans="1:18" ht="15.75" customHeight="1" x14ac:dyDescent="0.4">
      <c r="A231" s="1" t="s">
        <v>491</v>
      </c>
      <c r="B231" s="2">
        <v>45108</v>
      </c>
      <c r="C231" s="2">
        <v>45113</v>
      </c>
      <c r="D231" s="2" t="str">
        <f t="shared" si="21"/>
        <v>2023</v>
      </c>
      <c r="E231" s="2" t="str">
        <f t="shared" si="18"/>
        <v>July</v>
      </c>
      <c r="F231" s="2" t="str">
        <f t="shared" si="22"/>
        <v>Q3</v>
      </c>
      <c r="G231" s="13">
        <f t="shared" si="19"/>
        <v>5</v>
      </c>
      <c r="H231" s="12" t="s">
        <v>23</v>
      </c>
      <c r="I231" s="1" t="s">
        <v>24</v>
      </c>
      <c r="J231" s="1" t="s">
        <v>14</v>
      </c>
      <c r="K231" s="1" t="s">
        <v>30</v>
      </c>
      <c r="L231" s="1" t="s">
        <v>492</v>
      </c>
      <c r="M231" s="10">
        <v>882.89</v>
      </c>
      <c r="N231" s="8">
        <v>6</v>
      </c>
      <c r="O231" s="6">
        <v>0.35</v>
      </c>
      <c r="P231" s="10">
        <v>541.74</v>
      </c>
      <c r="Q231" s="11">
        <f t="shared" si="20"/>
        <v>341.15</v>
      </c>
      <c r="R231" t="str">
        <f t="shared" si="23"/>
        <v>profit</v>
      </c>
    </row>
    <row r="232" spans="1:18" ht="15.75" customHeight="1" x14ac:dyDescent="0.4">
      <c r="A232" s="1" t="s">
        <v>493</v>
      </c>
      <c r="B232" s="2">
        <v>45493</v>
      </c>
      <c r="C232" s="2">
        <v>45501</v>
      </c>
      <c r="D232" s="2" t="str">
        <f t="shared" si="21"/>
        <v>2024</v>
      </c>
      <c r="E232" s="2" t="str">
        <f t="shared" si="18"/>
        <v>July</v>
      </c>
      <c r="F232" s="2" t="str">
        <f t="shared" si="22"/>
        <v>Q3</v>
      </c>
      <c r="G232" s="13">
        <f t="shared" si="19"/>
        <v>8</v>
      </c>
      <c r="H232" s="12" t="s">
        <v>23</v>
      </c>
      <c r="I232" s="1" t="s">
        <v>59</v>
      </c>
      <c r="J232" s="1" t="s">
        <v>25</v>
      </c>
      <c r="K232" s="1" t="s">
        <v>47</v>
      </c>
      <c r="L232" s="1" t="s">
        <v>494</v>
      </c>
      <c r="M232" s="10">
        <v>484.76</v>
      </c>
      <c r="N232" s="8">
        <v>4</v>
      </c>
      <c r="O232" s="6">
        <v>0.2</v>
      </c>
      <c r="P232" s="10">
        <v>349.19</v>
      </c>
      <c r="Q232" s="11">
        <f t="shared" si="20"/>
        <v>135.57</v>
      </c>
      <c r="R232" t="str">
        <f t="shared" si="23"/>
        <v>profit</v>
      </c>
    </row>
    <row r="233" spans="1:18" ht="15.75" customHeight="1" x14ac:dyDescent="0.4">
      <c r="A233" s="1" t="s">
        <v>495</v>
      </c>
      <c r="B233" s="2">
        <v>45020</v>
      </c>
      <c r="C233" s="2">
        <v>45028</v>
      </c>
      <c r="D233" s="2" t="str">
        <f t="shared" si="21"/>
        <v>2023</v>
      </c>
      <c r="E233" s="2" t="str">
        <f t="shared" si="18"/>
        <v>April</v>
      </c>
      <c r="F233" s="2" t="str">
        <f t="shared" si="22"/>
        <v>Q2</v>
      </c>
      <c r="G233" s="13">
        <f t="shared" si="19"/>
        <v>8</v>
      </c>
      <c r="H233" s="12" t="s">
        <v>42</v>
      </c>
      <c r="I233" s="1" t="s">
        <v>18</v>
      </c>
      <c r="J233" s="1" t="s">
        <v>14</v>
      </c>
      <c r="K233" s="1" t="s">
        <v>54</v>
      </c>
      <c r="L233" s="1" t="s">
        <v>496</v>
      </c>
      <c r="M233" s="10">
        <v>593.23</v>
      </c>
      <c r="N233" s="8">
        <v>1</v>
      </c>
      <c r="O233" s="6">
        <v>0.26</v>
      </c>
      <c r="P233" s="10">
        <v>405.15</v>
      </c>
      <c r="Q233" s="11">
        <f t="shared" si="20"/>
        <v>188.08000000000004</v>
      </c>
      <c r="R233" t="str">
        <f t="shared" si="23"/>
        <v>profit</v>
      </c>
    </row>
    <row r="234" spans="1:18" ht="15.75" customHeight="1" x14ac:dyDescent="0.4">
      <c r="A234" s="1" t="s">
        <v>497</v>
      </c>
      <c r="B234" s="2">
        <v>45283</v>
      </c>
      <c r="C234" s="2">
        <v>45292</v>
      </c>
      <c r="D234" s="2" t="str">
        <f t="shared" si="21"/>
        <v>2023</v>
      </c>
      <c r="E234" s="2" t="str">
        <f t="shared" si="18"/>
        <v>January</v>
      </c>
      <c r="F234" s="2" t="str">
        <f t="shared" si="22"/>
        <v>Q1</v>
      </c>
      <c r="G234" s="13">
        <f t="shared" si="19"/>
        <v>9</v>
      </c>
      <c r="H234" s="12" t="s">
        <v>23</v>
      </c>
      <c r="I234" s="1" t="s">
        <v>13</v>
      </c>
      <c r="J234" s="1" t="s">
        <v>14</v>
      </c>
      <c r="K234" s="1" t="s">
        <v>15</v>
      </c>
      <c r="L234" s="1" t="s">
        <v>498</v>
      </c>
      <c r="M234" s="10">
        <v>20.54</v>
      </c>
      <c r="N234" s="8">
        <v>5</v>
      </c>
      <c r="O234" s="6">
        <v>0.27</v>
      </c>
      <c r="P234" s="10">
        <v>-25.55</v>
      </c>
      <c r="Q234" s="11">
        <f t="shared" si="20"/>
        <v>46.09</v>
      </c>
      <c r="R234" t="str">
        <f t="shared" si="23"/>
        <v>loss</v>
      </c>
    </row>
    <row r="235" spans="1:18" ht="15.75" customHeight="1" x14ac:dyDescent="0.4">
      <c r="A235" s="1" t="s">
        <v>499</v>
      </c>
      <c r="B235" s="2">
        <v>45124</v>
      </c>
      <c r="C235" s="2">
        <v>45132</v>
      </c>
      <c r="D235" s="2" t="str">
        <f t="shared" si="21"/>
        <v>2023</v>
      </c>
      <c r="E235" s="2" t="str">
        <f t="shared" si="18"/>
        <v>July</v>
      </c>
      <c r="F235" s="2" t="str">
        <f t="shared" si="22"/>
        <v>Q3</v>
      </c>
      <c r="G235" s="13">
        <f t="shared" si="19"/>
        <v>8</v>
      </c>
      <c r="H235" s="12" t="s">
        <v>1986</v>
      </c>
      <c r="I235" s="1" t="s">
        <v>59</v>
      </c>
      <c r="J235" s="1" t="s">
        <v>19</v>
      </c>
      <c r="K235" s="1" t="s">
        <v>20</v>
      </c>
      <c r="L235" s="1" t="s">
        <v>500</v>
      </c>
      <c r="M235" s="10">
        <v>292.70999999999998</v>
      </c>
      <c r="N235" s="8">
        <v>3</v>
      </c>
      <c r="O235" s="6">
        <v>0.42</v>
      </c>
      <c r="P235" s="10">
        <v>148.59</v>
      </c>
      <c r="Q235" s="11">
        <f t="shared" si="20"/>
        <v>144.11999999999998</v>
      </c>
      <c r="R235" t="str">
        <f t="shared" si="23"/>
        <v>profit</v>
      </c>
    </row>
    <row r="236" spans="1:18" ht="15.75" customHeight="1" x14ac:dyDescent="0.4">
      <c r="A236" s="1" t="s">
        <v>501</v>
      </c>
      <c r="C236" s="2">
        <v>45593</v>
      </c>
      <c r="D236" s="2" t="str">
        <f t="shared" si="21"/>
        <v/>
      </c>
      <c r="E236" s="2" t="str">
        <f t="shared" si="18"/>
        <v>October</v>
      </c>
      <c r="F236" s="2" t="str">
        <f t="shared" si="22"/>
        <v>Q4</v>
      </c>
      <c r="G236" s="13">
        <f t="shared" si="19"/>
        <v>45593</v>
      </c>
      <c r="H236" s="12" t="s">
        <v>1988</v>
      </c>
      <c r="I236" s="1" t="s">
        <v>18</v>
      </c>
      <c r="J236" s="1" t="s">
        <v>19</v>
      </c>
      <c r="K236" s="1" t="s">
        <v>20</v>
      </c>
      <c r="L236" s="1" t="s">
        <v>502</v>
      </c>
      <c r="M236" s="11" t="s">
        <v>1989</v>
      </c>
      <c r="N236" s="8">
        <v>3</v>
      </c>
      <c r="O236" s="6">
        <v>0.5</v>
      </c>
      <c r="P236" s="10">
        <v>20.71</v>
      </c>
      <c r="Q236" s="11" t="e">
        <f t="shared" si="20"/>
        <v>#VALUE!</v>
      </c>
      <c r="R236" t="str">
        <f t="shared" si="23"/>
        <v>profit</v>
      </c>
    </row>
    <row r="237" spans="1:18" ht="15.75" customHeight="1" x14ac:dyDescent="0.4">
      <c r="A237" s="1" t="s">
        <v>503</v>
      </c>
      <c r="B237" s="2">
        <v>44956</v>
      </c>
      <c r="C237" s="2">
        <v>44960</v>
      </c>
      <c r="D237" s="2" t="str">
        <f t="shared" si="21"/>
        <v>2023</v>
      </c>
      <c r="E237" s="2" t="str">
        <f t="shared" si="18"/>
        <v>February</v>
      </c>
      <c r="F237" s="2" t="str">
        <f t="shared" si="22"/>
        <v>Q1</v>
      </c>
      <c r="G237" s="13">
        <f t="shared" si="19"/>
        <v>4</v>
      </c>
      <c r="H237" s="12" t="s">
        <v>42</v>
      </c>
      <c r="I237" s="1" t="s">
        <v>59</v>
      </c>
      <c r="J237" s="1" t="s">
        <v>19</v>
      </c>
      <c r="K237" s="1" t="s">
        <v>20</v>
      </c>
      <c r="L237" s="1" t="s">
        <v>504</v>
      </c>
      <c r="M237" s="10">
        <v>586.32000000000005</v>
      </c>
      <c r="N237" s="8">
        <v>7</v>
      </c>
      <c r="O237" s="6">
        <v>0.14000000000000001</v>
      </c>
      <c r="P237" s="10">
        <v>484.05</v>
      </c>
      <c r="Q237" s="11">
        <f t="shared" si="20"/>
        <v>102.27000000000004</v>
      </c>
      <c r="R237" t="str">
        <f t="shared" si="23"/>
        <v>profit</v>
      </c>
    </row>
    <row r="238" spans="1:18" ht="15.75" customHeight="1" x14ac:dyDescent="0.4">
      <c r="A238" s="1" t="s">
        <v>505</v>
      </c>
      <c r="B238" s="2">
        <v>45500</v>
      </c>
      <c r="C238" s="2">
        <v>45501</v>
      </c>
      <c r="D238" s="2" t="str">
        <f t="shared" si="21"/>
        <v>2024</v>
      </c>
      <c r="E238" s="2" t="str">
        <f t="shared" si="18"/>
        <v>July</v>
      </c>
      <c r="F238" s="2" t="str">
        <f t="shared" si="22"/>
        <v>Q3</v>
      </c>
      <c r="G238" s="13">
        <f t="shared" si="19"/>
        <v>1</v>
      </c>
      <c r="H238" s="12" t="s">
        <v>23</v>
      </c>
      <c r="I238" s="1" t="s">
        <v>50</v>
      </c>
      <c r="J238" s="1" t="s">
        <v>14</v>
      </c>
      <c r="K238" s="1" t="s">
        <v>15</v>
      </c>
      <c r="L238" s="1" t="s">
        <v>506</v>
      </c>
      <c r="M238" s="10">
        <v>363.42</v>
      </c>
      <c r="N238" s="8">
        <v>1</v>
      </c>
      <c r="O238" s="6">
        <v>0.45</v>
      </c>
      <c r="P238" s="10">
        <v>154.55000000000001</v>
      </c>
      <c r="Q238" s="11">
        <f t="shared" si="20"/>
        <v>208.87</v>
      </c>
      <c r="R238" t="str">
        <f t="shared" si="23"/>
        <v>profit</v>
      </c>
    </row>
    <row r="239" spans="1:18" ht="15.75" customHeight="1" x14ac:dyDescent="0.4">
      <c r="A239" s="1" t="s">
        <v>507</v>
      </c>
      <c r="B239" s="2">
        <v>45211</v>
      </c>
      <c r="C239" s="2">
        <v>45212</v>
      </c>
      <c r="D239" s="2" t="str">
        <f t="shared" si="21"/>
        <v>2023</v>
      </c>
      <c r="E239" s="2" t="str">
        <f t="shared" si="18"/>
        <v>October</v>
      </c>
      <c r="F239" s="2" t="str">
        <f t="shared" si="22"/>
        <v>Q4</v>
      </c>
      <c r="G239" s="13">
        <f t="shared" si="19"/>
        <v>1</v>
      </c>
      <c r="H239" s="12" t="s">
        <v>1987</v>
      </c>
      <c r="I239" s="1" t="s">
        <v>50</v>
      </c>
      <c r="J239" s="1" t="s">
        <v>19</v>
      </c>
      <c r="K239" s="1" t="s">
        <v>20</v>
      </c>
      <c r="L239" s="1" t="s">
        <v>508</v>
      </c>
      <c r="M239" s="10">
        <v>531.21</v>
      </c>
      <c r="N239" s="8">
        <v>3</v>
      </c>
      <c r="O239" s="6">
        <v>0.01</v>
      </c>
      <c r="P239" s="10">
        <v>495.33</v>
      </c>
      <c r="Q239" s="11">
        <f t="shared" si="20"/>
        <v>35.880000000000052</v>
      </c>
      <c r="R239" t="str">
        <f t="shared" si="23"/>
        <v>profit</v>
      </c>
    </row>
    <row r="240" spans="1:18" ht="15.75" customHeight="1" x14ac:dyDescent="0.4">
      <c r="A240" s="1" t="s">
        <v>509</v>
      </c>
      <c r="B240" s="2">
        <v>45024</v>
      </c>
      <c r="C240" s="2">
        <v>45027</v>
      </c>
      <c r="D240" s="2" t="str">
        <f t="shared" si="21"/>
        <v>2023</v>
      </c>
      <c r="E240" s="2" t="str">
        <f t="shared" si="18"/>
        <v>April</v>
      </c>
      <c r="F240" s="2" t="str">
        <f t="shared" si="22"/>
        <v>Q2</v>
      </c>
      <c r="G240" s="13">
        <f t="shared" si="19"/>
        <v>3</v>
      </c>
      <c r="H240" s="12" t="s">
        <v>1986</v>
      </c>
      <c r="I240" s="1" t="s">
        <v>50</v>
      </c>
      <c r="J240" s="1" t="s">
        <v>14</v>
      </c>
      <c r="K240" s="1" t="s">
        <v>30</v>
      </c>
      <c r="L240" s="1" t="s">
        <v>510</v>
      </c>
      <c r="M240" s="10">
        <v>706.43</v>
      </c>
      <c r="N240" s="8">
        <v>6</v>
      </c>
      <c r="O240" s="6">
        <v>0.28999999999999998</v>
      </c>
      <c r="P240" s="10">
        <v>465.56</v>
      </c>
      <c r="Q240" s="11">
        <f t="shared" si="20"/>
        <v>240.86999999999995</v>
      </c>
      <c r="R240" t="str">
        <f t="shared" si="23"/>
        <v>profit</v>
      </c>
    </row>
    <row r="241" spans="1:18" ht="15.75" customHeight="1" x14ac:dyDescent="0.4">
      <c r="A241" s="1" t="s">
        <v>511</v>
      </c>
      <c r="B241" s="2">
        <v>44920</v>
      </c>
      <c r="C241" s="2">
        <v>44929</v>
      </c>
      <c r="D241" s="2" t="str">
        <f t="shared" si="21"/>
        <v>2022</v>
      </c>
      <c r="E241" s="2" t="str">
        <f t="shared" si="18"/>
        <v>January</v>
      </c>
      <c r="F241" s="2" t="str">
        <f t="shared" si="22"/>
        <v>Q1</v>
      </c>
      <c r="G241" s="13">
        <f t="shared" si="19"/>
        <v>9</v>
      </c>
      <c r="H241" s="12" t="s">
        <v>1986</v>
      </c>
      <c r="I241" s="1" t="s">
        <v>59</v>
      </c>
      <c r="J241" s="1" t="s">
        <v>25</v>
      </c>
      <c r="K241" s="1" t="s">
        <v>26</v>
      </c>
      <c r="L241" s="1" t="s">
        <v>512</v>
      </c>
      <c r="M241" s="10">
        <v>349.27</v>
      </c>
      <c r="N241" s="8">
        <v>4</v>
      </c>
      <c r="O241" s="6">
        <v>0.18</v>
      </c>
      <c r="P241" s="10">
        <v>239.04</v>
      </c>
      <c r="Q241" s="11">
        <f t="shared" si="20"/>
        <v>110.22999999999999</v>
      </c>
      <c r="R241" t="str">
        <f t="shared" si="23"/>
        <v>profit</v>
      </c>
    </row>
    <row r="242" spans="1:18" ht="15.75" customHeight="1" x14ac:dyDescent="0.4">
      <c r="A242" s="1" t="s">
        <v>513</v>
      </c>
      <c r="B242" s="2">
        <v>45304</v>
      </c>
      <c r="C242" s="2">
        <v>45312</v>
      </c>
      <c r="D242" s="2" t="str">
        <f t="shared" si="21"/>
        <v>2024</v>
      </c>
      <c r="E242" s="2" t="str">
        <f t="shared" si="18"/>
        <v>January</v>
      </c>
      <c r="F242" s="2" t="str">
        <f t="shared" si="22"/>
        <v>Q1</v>
      </c>
      <c r="G242" s="13">
        <f t="shared" si="19"/>
        <v>8</v>
      </c>
      <c r="H242" s="12" t="s">
        <v>1986</v>
      </c>
      <c r="I242" s="1" t="s">
        <v>46</v>
      </c>
      <c r="J242" s="1" t="s">
        <v>19</v>
      </c>
      <c r="K242" s="1" t="s">
        <v>20</v>
      </c>
      <c r="L242" s="1" t="s">
        <v>514</v>
      </c>
      <c r="M242" s="10">
        <v>218.93</v>
      </c>
      <c r="N242" s="8">
        <v>6</v>
      </c>
      <c r="O242" s="6">
        <v>0.43</v>
      </c>
      <c r="P242" s="10">
        <v>101.83</v>
      </c>
      <c r="Q242" s="11">
        <f t="shared" si="20"/>
        <v>117.10000000000001</v>
      </c>
      <c r="R242" t="str">
        <f t="shared" si="23"/>
        <v>profit</v>
      </c>
    </row>
    <row r="243" spans="1:18" ht="15.75" customHeight="1" x14ac:dyDescent="0.4">
      <c r="A243" s="1" t="s">
        <v>515</v>
      </c>
      <c r="B243" s="2">
        <v>45379</v>
      </c>
      <c r="C243" s="2">
        <v>45380</v>
      </c>
      <c r="D243" s="2" t="str">
        <f t="shared" si="21"/>
        <v>2024</v>
      </c>
      <c r="E243" s="2" t="str">
        <f t="shared" si="18"/>
        <v>March</v>
      </c>
      <c r="F243" s="2" t="str">
        <f t="shared" si="22"/>
        <v>Q2</v>
      </c>
      <c r="G243" s="13">
        <f t="shared" si="19"/>
        <v>1</v>
      </c>
      <c r="H243" s="12" t="s">
        <v>42</v>
      </c>
      <c r="I243" s="1" t="s">
        <v>59</v>
      </c>
      <c r="J243" s="1" t="s">
        <v>25</v>
      </c>
      <c r="K243" s="1" t="s">
        <v>26</v>
      </c>
      <c r="L243" s="1" t="s">
        <v>516</v>
      </c>
      <c r="M243" s="10">
        <v>353.56</v>
      </c>
      <c r="N243" s="8">
        <v>5</v>
      </c>
      <c r="O243" s="6">
        <v>0.15</v>
      </c>
      <c r="P243" s="10">
        <v>289.22000000000003</v>
      </c>
      <c r="Q243" s="11">
        <f t="shared" si="20"/>
        <v>64.339999999999975</v>
      </c>
      <c r="R243" t="str">
        <f t="shared" si="23"/>
        <v>profit</v>
      </c>
    </row>
    <row r="244" spans="1:18" ht="15.75" customHeight="1" x14ac:dyDescent="0.4">
      <c r="A244" s="1" t="s">
        <v>517</v>
      </c>
      <c r="B244" s="2">
        <v>45540</v>
      </c>
      <c r="C244" s="2">
        <v>45545</v>
      </c>
      <c r="D244" s="2" t="str">
        <f t="shared" si="21"/>
        <v>2024</v>
      </c>
      <c r="E244" s="2" t="str">
        <f t="shared" si="18"/>
        <v>September</v>
      </c>
      <c r="F244" s="2" t="str">
        <f t="shared" si="22"/>
        <v>Q4</v>
      </c>
      <c r="G244" s="13">
        <f t="shared" si="19"/>
        <v>5</v>
      </c>
      <c r="H244" s="12" t="s">
        <v>42</v>
      </c>
      <c r="I244" s="1" t="s">
        <v>24</v>
      </c>
      <c r="J244" s="1" t="s">
        <v>25</v>
      </c>
      <c r="K244" s="1" t="s">
        <v>47</v>
      </c>
      <c r="L244" s="1" t="s">
        <v>518</v>
      </c>
      <c r="M244" s="10">
        <v>916.86</v>
      </c>
      <c r="N244" s="8">
        <v>5</v>
      </c>
      <c r="O244" s="6">
        <v>0.12</v>
      </c>
      <c r="P244" s="10">
        <v>759.63</v>
      </c>
      <c r="Q244" s="11">
        <f t="shared" si="20"/>
        <v>157.23000000000002</v>
      </c>
      <c r="R244" t="str">
        <f t="shared" si="23"/>
        <v>profit</v>
      </c>
    </row>
    <row r="245" spans="1:18" ht="15.75" customHeight="1" x14ac:dyDescent="0.4">
      <c r="A245" s="1" t="s">
        <v>519</v>
      </c>
      <c r="B245" s="2">
        <v>45052</v>
      </c>
      <c r="C245" s="2">
        <v>45053</v>
      </c>
      <c r="D245" s="2" t="str">
        <f t="shared" si="21"/>
        <v>2023</v>
      </c>
      <c r="E245" s="2" t="str">
        <f t="shared" si="18"/>
        <v>May</v>
      </c>
      <c r="F245" s="2" t="str">
        <f t="shared" si="22"/>
        <v>Q2</v>
      </c>
      <c r="G245" s="13">
        <f t="shared" si="19"/>
        <v>1</v>
      </c>
      <c r="H245" s="12" t="s">
        <v>23</v>
      </c>
      <c r="I245" s="1" t="s">
        <v>59</v>
      </c>
      <c r="J245" s="1" t="s">
        <v>14</v>
      </c>
      <c r="K245" s="1" t="s">
        <v>15</v>
      </c>
      <c r="L245" s="1" t="s">
        <v>520</v>
      </c>
      <c r="M245" s="10">
        <v>227</v>
      </c>
      <c r="N245" s="8">
        <v>3</v>
      </c>
      <c r="O245" s="6">
        <v>0.16</v>
      </c>
      <c r="P245" s="10">
        <v>154.36000000000001</v>
      </c>
      <c r="Q245" s="11">
        <f t="shared" si="20"/>
        <v>72.639999999999986</v>
      </c>
      <c r="R245" t="str">
        <f t="shared" si="23"/>
        <v>profit</v>
      </c>
    </row>
    <row r="246" spans="1:18" ht="15.75" customHeight="1" x14ac:dyDescent="0.4">
      <c r="A246" s="1" t="s">
        <v>521</v>
      </c>
      <c r="B246" s="2">
        <v>45350</v>
      </c>
      <c r="C246" s="2">
        <v>45358</v>
      </c>
      <c r="D246" s="2" t="str">
        <f t="shared" si="21"/>
        <v>2024</v>
      </c>
      <c r="E246" s="2" t="str">
        <f t="shared" si="18"/>
        <v>March</v>
      </c>
      <c r="F246" s="2" t="str">
        <f t="shared" si="22"/>
        <v>Q2</v>
      </c>
      <c r="G246" s="13">
        <f t="shared" si="19"/>
        <v>8</v>
      </c>
      <c r="H246" s="12" t="s">
        <v>42</v>
      </c>
      <c r="I246" s="1" t="s">
        <v>18</v>
      </c>
      <c r="J246" s="1" t="s">
        <v>25</v>
      </c>
      <c r="K246" s="1" t="s">
        <v>47</v>
      </c>
      <c r="L246" s="1" t="s">
        <v>522</v>
      </c>
      <c r="M246" s="10">
        <v>884.07</v>
      </c>
      <c r="N246" s="8">
        <v>5</v>
      </c>
      <c r="O246" s="6">
        <v>0.19</v>
      </c>
      <c r="P246" s="10">
        <v>668.9</v>
      </c>
      <c r="Q246" s="11">
        <f t="shared" si="20"/>
        <v>215.17000000000007</v>
      </c>
      <c r="R246" t="str">
        <f t="shared" si="23"/>
        <v>profit</v>
      </c>
    </row>
    <row r="247" spans="1:18" ht="15.75" customHeight="1" x14ac:dyDescent="0.4">
      <c r="A247" s="1" t="s">
        <v>523</v>
      </c>
      <c r="B247" s="2">
        <v>45041</v>
      </c>
      <c r="C247" s="2">
        <v>45046</v>
      </c>
      <c r="D247" s="2" t="str">
        <f t="shared" si="21"/>
        <v>2023</v>
      </c>
      <c r="E247" s="2" t="str">
        <f t="shared" si="18"/>
        <v>April</v>
      </c>
      <c r="F247" s="2" t="str">
        <f t="shared" si="22"/>
        <v>Q2</v>
      </c>
      <c r="G247" s="13">
        <f t="shared" si="19"/>
        <v>5</v>
      </c>
      <c r="H247" s="12" t="s">
        <v>42</v>
      </c>
      <c r="I247" s="1" t="s">
        <v>59</v>
      </c>
      <c r="J247" s="1" t="s">
        <v>19</v>
      </c>
      <c r="K247" s="1" t="s">
        <v>92</v>
      </c>
      <c r="L247" s="1" t="s">
        <v>524</v>
      </c>
      <c r="M247" s="10">
        <v>675.72</v>
      </c>
      <c r="N247" s="8">
        <v>3</v>
      </c>
      <c r="O247" s="6">
        <v>0.4</v>
      </c>
      <c r="P247" s="10">
        <v>387.6</v>
      </c>
      <c r="Q247" s="11">
        <f t="shared" si="20"/>
        <v>288.12</v>
      </c>
      <c r="R247" t="str">
        <f t="shared" si="23"/>
        <v>profit</v>
      </c>
    </row>
    <row r="248" spans="1:18" ht="15.75" customHeight="1" x14ac:dyDescent="0.4">
      <c r="A248" s="1" t="s">
        <v>525</v>
      </c>
      <c r="B248" s="2">
        <v>45253</v>
      </c>
      <c r="C248" s="2">
        <v>45253</v>
      </c>
      <c r="D248" s="2" t="str">
        <f t="shared" si="21"/>
        <v>2023</v>
      </c>
      <c r="E248" s="2" t="str">
        <f t="shared" si="18"/>
        <v>November</v>
      </c>
      <c r="F248" s="2" t="str">
        <f t="shared" si="22"/>
        <v>Q4</v>
      </c>
      <c r="G248" s="13">
        <f t="shared" si="19"/>
        <v>0</v>
      </c>
      <c r="H248" s="12" t="s">
        <v>1986</v>
      </c>
      <c r="I248" s="1" t="s">
        <v>18</v>
      </c>
      <c r="J248" s="1" t="s">
        <v>19</v>
      </c>
      <c r="K248" s="1" t="s">
        <v>35</v>
      </c>
      <c r="L248" s="1" t="s">
        <v>526</v>
      </c>
      <c r="M248" s="10">
        <v>766.22</v>
      </c>
      <c r="N248" s="8">
        <v>10</v>
      </c>
      <c r="O248" s="6">
        <v>0.47</v>
      </c>
      <c r="P248" s="10">
        <v>372.84</v>
      </c>
      <c r="Q248" s="11">
        <f t="shared" si="20"/>
        <v>393.38000000000005</v>
      </c>
      <c r="R248" t="str">
        <f t="shared" si="23"/>
        <v>profit</v>
      </c>
    </row>
    <row r="249" spans="1:18" ht="15.75" customHeight="1" x14ac:dyDescent="0.4">
      <c r="A249" s="1" t="s">
        <v>527</v>
      </c>
      <c r="B249" s="2">
        <v>45329</v>
      </c>
      <c r="C249" s="2">
        <v>45331</v>
      </c>
      <c r="D249" s="2" t="str">
        <f t="shared" si="21"/>
        <v>2024</v>
      </c>
      <c r="E249" s="2" t="str">
        <f t="shared" si="18"/>
        <v>February</v>
      </c>
      <c r="F249" s="2" t="str">
        <f t="shared" si="22"/>
        <v>Q1</v>
      </c>
      <c r="G249" s="13">
        <f t="shared" si="19"/>
        <v>2</v>
      </c>
      <c r="H249" s="12" t="s">
        <v>1986</v>
      </c>
      <c r="I249" s="1" t="s">
        <v>13</v>
      </c>
      <c r="J249" s="1" t="s">
        <v>19</v>
      </c>
      <c r="K249" s="1" t="s">
        <v>92</v>
      </c>
      <c r="L249" s="1" t="s">
        <v>528</v>
      </c>
      <c r="M249" s="10">
        <v>260.26</v>
      </c>
      <c r="N249" s="8">
        <v>3</v>
      </c>
      <c r="O249" s="6">
        <v>0.08</v>
      </c>
      <c r="P249" s="10">
        <v>191.74</v>
      </c>
      <c r="Q249" s="11">
        <f t="shared" si="20"/>
        <v>68.519999999999982</v>
      </c>
      <c r="R249" t="str">
        <f t="shared" si="23"/>
        <v>profit</v>
      </c>
    </row>
    <row r="250" spans="1:18" ht="15.75" customHeight="1" x14ac:dyDescent="0.4">
      <c r="A250" s="1" t="s">
        <v>529</v>
      </c>
      <c r="B250" s="2">
        <v>45364</v>
      </c>
      <c r="C250" s="2">
        <v>45364</v>
      </c>
      <c r="D250" s="2" t="str">
        <f t="shared" si="21"/>
        <v>2024</v>
      </c>
      <c r="E250" s="2" t="str">
        <f t="shared" si="18"/>
        <v>March</v>
      </c>
      <c r="F250" s="2" t="str">
        <f t="shared" si="22"/>
        <v>Q2</v>
      </c>
      <c r="G250" s="13">
        <f t="shared" si="19"/>
        <v>0</v>
      </c>
      <c r="H250" s="12" t="s">
        <v>1987</v>
      </c>
      <c r="I250" s="1" t="s">
        <v>50</v>
      </c>
      <c r="J250" s="1" t="s">
        <v>19</v>
      </c>
      <c r="K250" s="1" t="s">
        <v>92</v>
      </c>
      <c r="L250" s="1" t="s">
        <v>530</v>
      </c>
      <c r="M250" s="10">
        <v>80.27</v>
      </c>
      <c r="N250" s="8">
        <v>1</v>
      </c>
      <c r="O250" s="6">
        <v>0.18</v>
      </c>
      <c r="P250" s="10">
        <v>33.94</v>
      </c>
      <c r="Q250" s="11">
        <f t="shared" si="20"/>
        <v>46.33</v>
      </c>
      <c r="R250" t="str">
        <f t="shared" si="23"/>
        <v>profit</v>
      </c>
    </row>
    <row r="251" spans="1:18" ht="15.75" customHeight="1" x14ac:dyDescent="0.4">
      <c r="A251" s="1" t="s">
        <v>531</v>
      </c>
      <c r="B251" s="2">
        <v>45412</v>
      </c>
      <c r="C251" s="2">
        <v>45421</v>
      </c>
      <c r="D251" s="2" t="str">
        <f t="shared" si="21"/>
        <v>2024</v>
      </c>
      <c r="E251" s="2" t="str">
        <f t="shared" si="18"/>
        <v>May</v>
      </c>
      <c r="F251" s="2" t="str">
        <f t="shared" si="22"/>
        <v>Q2</v>
      </c>
      <c r="G251" s="13">
        <f t="shared" si="19"/>
        <v>9</v>
      </c>
      <c r="H251" s="12" t="s">
        <v>23</v>
      </c>
      <c r="I251" s="1" t="s">
        <v>59</v>
      </c>
      <c r="J251" s="1" t="s">
        <v>19</v>
      </c>
      <c r="K251" s="1" t="s">
        <v>35</v>
      </c>
      <c r="L251" s="1" t="s">
        <v>532</v>
      </c>
      <c r="M251" s="10">
        <v>420</v>
      </c>
      <c r="N251" s="8">
        <v>4</v>
      </c>
      <c r="O251" s="6">
        <v>0.45</v>
      </c>
      <c r="P251" s="10">
        <v>198.79</v>
      </c>
      <c r="Q251" s="11">
        <f t="shared" si="20"/>
        <v>221.21</v>
      </c>
      <c r="R251" t="str">
        <f t="shared" si="23"/>
        <v>profit</v>
      </c>
    </row>
    <row r="252" spans="1:18" ht="15.75" customHeight="1" x14ac:dyDescent="0.4">
      <c r="A252" s="1" t="s">
        <v>533</v>
      </c>
      <c r="B252" s="2">
        <v>45264</v>
      </c>
      <c r="C252" s="2">
        <v>45268</v>
      </c>
      <c r="D252" s="2" t="str">
        <f t="shared" si="21"/>
        <v>2023</v>
      </c>
      <c r="E252" s="2" t="str">
        <f t="shared" si="18"/>
        <v>December</v>
      </c>
      <c r="F252" s="2" t="str">
        <f t="shared" si="22"/>
        <v>Q4</v>
      </c>
      <c r="G252" s="13">
        <f t="shared" si="19"/>
        <v>4</v>
      </c>
      <c r="H252" s="12" t="s">
        <v>1987</v>
      </c>
      <c r="I252" s="1" t="s">
        <v>53</v>
      </c>
      <c r="J252" s="1" t="s">
        <v>19</v>
      </c>
      <c r="K252" s="1" t="s">
        <v>20</v>
      </c>
      <c r="L252" s="1" t="s">
        <v>534</v>
      </c>
      <c r="M252" s="10">
        <v>500000</v>
      </c>
      <c r="N252" s="8">
        <v>1</v>
      </c>
      <c r="O252" s="6">
        <v>0.28999999999999998</v>
      </c>
      <c r="P252" s="10">
        <v>418.9</v>
      </c>
      <c r="Q252" s="11">
        <f t="shared" si="20"/>
        <v>499581.1</v>
      </c>
      <c r="R252" t="str">
        <f t="shared" si="23"/>
        <v>profit</v>
      </c>
    </row>
    <row r="253" spans="1:18" ht="15.75" customHeight="1" x14ac:dyDescent="0.4">
      <c r="A253" s="1" t="s">
        <v>535</v>
      </c>
      <c r="B253" s="2">
        <v>44923</v>
      </c>
      <c r="C253" s="2">
        <v>44923</v>
      </c>
      <c r="D253" s="2" t="str">
        <f t="shared" si="21"/>
        <v>2022</v>
      </c>
      <c r="E253" s="2" t="str">
        <f t="shared" si="18"/>
        <v>December</v>
      </c>
      <c r="F253" s="2" t="str">
        <f t="shared" si="22"/>
        <v>Q4</v>
      </c>
      <c r="G253" s="13">
        <f t="shared" si="19"/>
        <v>0</v>
      </c>
      <c r="H253" s="12" t="s">
        <v>1987</v>
      </c>
      <c r="I253" s="1" t="s">
        <v>29</v>
      </c>
      <c r="J253" s="1" t="s">
        <v>25</v>
      </c>
      <c r="K253" s="1" t="s">
        <v>47</v>
      </c>
      <c r="L253" s="1" t="s">
        <v>270</v>
      </c>
      <c r="M253" s="10">
        <v>708.17</v>
      </c>
      <c r="N253" s="8">
        <v>10</v>
      </c>
      <c r="O253" s="6">
        <v>0.34</v>
      </c>
      <c r="P253" s="10">
        <v>431.92</v>
      </c>
      <c r="Q253" s="11">
        <f t="shared" si="20"/>
        <v>276.24999999999994</v>
      </c>
      <c r="R253" t="str">
        <f t="shared" si="23"/>
        <v>profit</v>
      </c>
    </row>
    <row r="254" spans="1:18" ht="15.75" customHeight="1" x14ac:dyDescent="0.4">
      <c r="A254" s="1" t="s">
        <v>536</v>
      </c>
      <c r="B254" s="2">
        <v>45255</v>
      </c>
      <c r="C254" s="2">
        <v>45262</v>
      </c>
      <c r="D254" s="2" t="str">
        <f t="shared" si="21"/>
        <v>2023</v>
      </c>
      <c r="E254" s="2" t="str">
        <f t="shared" si="18"/>
        <v>December</v>
      </c>
      <c r="F254" s="2" t="str">
        <f t="shared" si="22"/>
        <v>Q4</v>
      </c>
      <c r="G254" s="13">
        <f t="shared" si="19"/>
        <v>7</v>
      </c>
      <c r="H254" s="12" t="s">
        <v>1987</v>
      </c>
      <c r="I254" s="1" t="s">
        <v>59</v>
      </c>
      <c r="J254" s="1" t="s">
        <v>14</v>
      </c>
      <c r="K254" s="1" t="s">
        <v>30</v>
      </c>
      <c r="L254" s="1" t="s">
        <v>537</v>
      </c>
      <c r="M254" s="10">
        <v>242.53</v>
      </c>
      <c r="N254" s="8">
        <v>6</v>
      </c>
      <c r="O254" s="6">
        <v>0.05</v>
      </c>
      <c r="P254" s="10">
        <v>189.06</v>
      </c>
      <c r="Q254" s="11">
        <f t="shared" si="20"/>
        <v>53.47</v>
      </c>
      <c r="R254" t="str">
        <f t="shared" si="23"/>
        <v>profit</v>
      </c>
    </row>
    <row r="255" spans="1:18" ht="15.75" customHeight="1" x14ac:dyDescent="0.4">
      <c r="A255" s="1" t="s">
        <v>538</v>
      </c>
      <c r="B255" s="2">
        <v>45039</v>
      </c>
      <c r="C255" s="2">
        <v>45043</v>
      </c>
      <c r="D255" s="2" t="str">
        <f t="shared" si="21"/>
        <v>2023</v>
      </c>
      <c r="E255" s="2" t="str">
        <f t="shared" si="18"/>
        <v>April</v>
      </c>
      <c r="F255" s="2" t="str">
        <f t="shared" si="22"/>
        <v>Q2</v>
      </c>
      <c r="G255" s="13">
        <f t="shared" si="19"/>
        <v>4</v>
      </c>
      <c r="H255" s="12" t="s">
        <v>42</v>
      </c>
      <c r="I255" s="1" t="s">
        <v>46</v>
      </c>
      <c r="J255" s="1" t="s">
        <v>14</v>
      </c>
      <c r="K255" s="1" t="s">
        <v>15</v>
      </c>
      <c r="L255" s="1" t="s">
        <v>539</v>
      </c>
      <c r="M255" s="10">
        <v>796.03</v>
      </c>
      <c r="N255" s="8">
        <v>3</v>
      </c>
      <c r="O255" s="6">
        <v>0.13</v>
      </c>
      <c r="P255" s="10">
        <v>663.48</v>
      </c>
      <c r="Q255" s="11">
        <f t="shared" si="20"/>
        <v>132.54999999999995</v>
      </c>
      <c r="R255" t="str">
        <f t="shared" si="23"/>
        <v>profit</v>
      </c>
    </row>
    <row r="256" spans="1:18" ht="15.75" customHeight="1" x14ac:dyDescent="0.4">
      <c r="A256" s="1" t="s">
        <v>540</v>
      </c>
      <c r="B256" s="2">
        <v>45123</v>
      </c>
      <c r="C256" s="2">
        <v>45124</v>
      </c>
      <c r="D256" s="2" t="str">
        <f t="shared" si="21"/>
        <v>2023</v>
      </c>
      <c r="E256" s="2" t="str">
        <f t="shared" si="18"/>
        <v>July</v>
      </c>
      <c r="F256" s="2" t="str">
        <f t="shared" si="22"/>
        <v>Q3</v>
      </c>
      <c r="G256" s="13">
        <f t="shared" si="19"/>
        <v>1</v>
      </c>
      <c r="H256" s="12" t="s">
        <v>23</v>
      </c>
      <c r="I256" s="1" t="s">
        <v>24</v>
      </c>
      <c r="J256" s="1" t="s">
        <v>19</v>
      </c>
      <c r="K256" s="1" t="s">
        <v>20</v>
      </c>
      <c r="L256" s="1" t="s">
        <v>541</v>
      </c>
      <c r="M256" s="10">
        <v>620.35</v>
      </c>
      <c r="N256" s="8">
        <v>6</v>
      </c>
      <c r="O256" s="6">
        <v>0.35</v>
      </c>
      <c r="P256" s="10">
        <v>353.8</v>
      </c>
      <c r="Q256" s="11">
        <f t="shared" si="20"/>
        <v>266.55</v>
      </c>
      <c r="R256" t="str">
        <f t="shared" si="23"/>
        <v>profit</v>
      </c>
    </row>
    <row r="257" spans="1:18" ht="15.75" customHeight="1" x14ac:dyDescent="0.4">
      <c r="A257" s="1" t="s">
        <v>542</v>
      </c>
      <c r="B257" s="2">
        <v>44993</v>
      </c>
      <c r="C257" s="2">
        <v>44995</v>
      </c>
      <c r="D257" s="2" t="str">
        <f t="shared" si="21"/>
        <v>2023</v>
      </c>
      <c r="E257" s="2" t="str">
        <f t="shared" si="18"/>
        <v>March</v>
      </c>
      <c r="F257" s="2" t="str">
        <f t="shared" si="22"/>
        <v>Q2</v>
      </c>
      <c r="G257" s="13">
        <f t="shared" si="19"/>
        <v>2</v>
      </c>
      <c r="H257" s="12" t="s">
        <v>42</v>
      </c>
      <c r="I257" s="1" t="s">
        <v>24</v>
      </c>
      <c r="J257" s="1" t="s">
        <v>19</v>
      </c>
      <c r="K257" s="1" t="s">
        <v>92</v>
      </c>
      <c r="L257" s="1" t="s">
        <v>543</v>
      </c>
      <c r="M257" s="10">
        <v>841.85</v>
      </c>
      <c r="N257" s="8">
        <v>8</v>
      </c>
      <c r="O257" s="6">
        <v>0.03</v>
      </c>
      <c r="P257" s="10">
        <v>768.2</v>
      </c>
      <c r="Q257" s="11">
        <f t="shared" si="20"/>
        <v>73.649999999999977</v>
      </c>
      <c r="R257" t="str">
        <f t="shared" si="23"/>
        <v>profit</v>
      </c>
    </row>
    <row r="258" spans="1:18" ht="15.75" customHeight="1" x14ac:dyDescent="0.4">
      <c r="A258" s="1" t="s">
        <v>544</v>
      </c>
      <c r="B258" s="2">
        <v>44949</v>
      </c>
      <c r="C258" s="2">
        <v>44954</v>
      </c>
      <c r="D258" s="2" t="str">
        <f t="shared" si="21"/>
        <v>2023</v>
      </c>
      <c r="E258" s="2" t="str">
        <f t="shared" ref="E258:E321" si="24">TEXT(C258, "MMMM")</f>
        <v>January</v>
      </c>
      <c r="F258" s="2" t="str">
        <f t="shared" si="22"/>
        <v>Q1</v>
      </c>
      <c r="G258" s="13">
        <f t="shared" ref="G258:G321" si="25">DATEDIF(B258,C258, "D")</f>
        <v>5</v>
      </c>
      <c r="H258" s="12" t="s">
        <v>23</v>
      </c>
      <c r="I258" s="1" t="s">
        <v>29</v>
      </c>
      <c r="J258" s="1" t="s">
        <v>19</v>
      </c>
      <c r="K258" s="1" t="s">
        <v>35</v>
      </c>
      <c r="L258" s="1" t="s">
        <v>545</v>
      </c>
      <c r="M258" s="10">
        <v>915.09</v>
      </c>
      <c r="N258" s="8">
        <v>2</v>
      </c>
      <c r="O258" s="6">
        <v>0.16</v>
      </c>
      <c r="P258" s="10">
        <v>744.61</v>
      </c>
      <c r="Q258" s="11">
        <f t="shared" ref="Q258:Q321" si="26">M258 - P258</f>
        <v>170.48000000000002</v>
      </c>
      <c r="R258" t="str">
        <f t="shared" si="23"/>
        <v>profit</v>
      </c>
    </row>
    <row r="259" spans="1:18" ht="15.75" customHeight="1" x14ac:dyDescent="0.4">
      <c r="A259" s="1" t="s">
        <v>546</v>
      </c>
      <c r="B259" s="2">
        <v>45567</v>
      </c>
      <c r="C259" s="2">
        <v>45570</v>
      </c>
      <c r="D259" s="2" t="str">
        <f t="shared" ref="D259:D322" si="27">IF(B259="","",TEXT(B259,"YYYY"))</f>
        <v>2024</v>
      </c>
      <c r="E259" s="2" t="str">
        <f t="shared" si="24"/>
        <v>October</v>
      </c>
      <c r="F259" s="2" t="str">
        <f t="shared" ref="F259:F322" si="28">IF(MONTH(C259)&lt;3,"Q1",IF(MONTH(C259)&lt;6,"Q2",IF(MONTH(C259)&lt;9,"Q3","Q4")))</f>
        <v>Q4</v>
      </c>
      <c r="G259" s="13">
        <f t="shared" si="25"/>
        <v>3</v>
      </c>
      <c r="H259" s="12" t="s">
        <v>42</v>
      </c>
      <c r="I259" s="1" t="s">
        <v>59</v>
      </c>
      <c r="J259" s="1" t="s">
        <v>25</v>
      </c>
      <c r="K259" s="1" t="s">
        <v>26</v>
      </c>
      <c r="L259" s="1" t="s">
        <v>547</v>
      </c>
      <c r="M259" s="10">
        <v>892.28</v>
      </c>
      <c r="N259" s="8">
        <v>1</v>
      </c>
      <c r="O259" s="6">
        <v>0.22</v>
      </c>
      <c r="P259" s="10">
        <v>682.59</v>
      </c>
      <c r="Q259" s="11">
        <f t="shared" si="26"/>
        <v>209.68999999999994</v>
      </c>
      <c r="R259" t="str">
        <f t="shared" si="23"/>
        <v>profit</v>
      </c>
    </row>
    <row r="260" spans="1:18" ht="15.75" customHeight="1" x14ac:dyDescent="0.4">
      <c r="A260" s="1" t="s">
        <v>548</v>
      </c>
      <c r="B260" s="2">
        <v>45490</v>
      </c>
      <c r="C260" s="2">
        <v>45493</v>
      </c>
      <c r="D260" s="2" t="str">
        <f t="shared" si="27"/>
        <v>2024</v>
      </c>
      <c r="E260" s="2" t="str">
        <f t="shared" si="24"/>
        <v>July</v>
      </c>
      <c r="F260" s="2" t="str">
        <f t="shared" si="28"/>
        <v>Q3</v>
      </c>
      <c r="G260" s="13">
        <f t="shared" si="25"/>
        <v>3</v>
      </c>
      <c r="H260" s="12" t="s">
        <v>1986</v>
      </c>
      <c r="I260" s="1" t="s">
        <v>46</v>
      </c>
      <c r="J260" s="1" t="s">
        <v>25</v>
      </c>
      <c r="K260" s="1" t="s">
        <v>47</v>
      </c>
      <c r="L260" s="1" t="s">
        <v>549</v>
      </c>
      <c r="M260" s="10">
        <v>944.67</v>
      </c>
      <c r="N260" s="8">
        <v>1</v>
      </c>
      <c r="O260" s="6">
        <v>0.38</v>
      </c>
      <c r="P260" s="10">
        <v>555.86</v>
      </c>
      <c r="Q260" s="11">
        <f t="shared" si="26"/>
        <v>388.80999999999995</v>
      </c>
      <c r="R260" t="str">
        <f t="shared" ref="R260:R323" si="29">IF(P260&gt;0,"profit","loss")</f>
        <v>profit</v>
      </c>
    </row>
    <row r="261" spans="1:18" ht="15.75" customHeight="1" x14ac:dyDescent="0.4">
      <c r="A261" s="1" t="s">
        <v>550</v>
      </c>
      <c r="B261" s="2">
        <v>45273</v>
      </c>
      <c r="C261" s="2">
        <v>45278</v>
      </c>
      <c r="D261" s="2" t="str">
        <f t="shared" si="27"/>
        <v>2023</v>
      </c>
      <c r="E261" s="2" t="str">
        <f t="shared" si="24"/>
        <v>December</v>
      </c>
      <c r="F261" s="2" t="str">
        <f t="shared" si="28"/>
        <v>Q4</v>
      </c>
      <c r="G261" s="13">
        <f t="shared" si="25"/>
        <v>5</v>
      </c>
      <c r="H261" s="12" t="s">
        <v>1986</v>
      </c>
      <c r="I261" s="1" t="s">
        <v>46</v>
      </c>
      <c r="J261" s="1" t="s">
        <v>25</v>
      </c>
      <c r="K261" s="1" t="s">
        <v>47</v>
      </c>
      <c r="L261" s="1" t="s">
        <v>551</v>
      </c>
      <c r="M261" s="10">
        <v>240.25</v>
      </c>
      <c r="N261" s="8">
        <v>4</v>
      </c>
      <c r="O261" s="6">
        <v>0.17</v>
      </c>
      <c r="P261" s="10">
        <v>157.9</v>
      </c>
      <c r="Q261" s="11">
        <f t="shared" si="26"/>
        <v>82.35</v>
      </c>
      <c r="R261" t="str">
        <f t="shared" si="29"/>
        <v>profit</v>
      </c>
    </row>
    <row r="262" spans="1:18" ht="15.75" customHeight="1" x14ac:dyDescent="0.4">
      <c r="A262" s="1" t="s">
        <v>552</v>
      </c>
      <c r="B262" s="2">
        <v>44977</v>
      </c>
      <c r="C262" s="2">
        <v>44984</v>
      </c>
      <c r="D262" s="2" t="str">
        <f t="shared" si="27"/>
        <v>2023</v>
      </c>
      <c r="E262" s="2" t="str">
        <f t="shared" si="24"/>
        <v>February</v>
      </c>
      <c r="F262" s="2" t="str">
        <f t="shared" si="28"/>
        <v>Q1</v>
      </c>
      <c r="G262" s="13">
        <f t="shared" si="25"/>
        <v>7</v>
      </c>
      <c r="H262" s="12" t="s">
        <v>23</v>
      </c>
      <c r="I262" s="1" t="s">
        <v>24</v>
      </c>
      <c r="J262" s="1" t="s">
        <v>19</v>
      </c>
      <c r="K262" s="1" t="s">
        <v>35</v>
      </c>
      <c r="L262" s="1" t="s">
        <v>553</v>
      </c>
      <c r="M262" s="10">
        <v>701.55</v>
      </c>
      <c r="N262" s="8">
        <v>2</v>
      </c>
      <c r="O262" s="6">
        <v>0.01</v>
      </c>
      <c r="P262" s="10">
        <v>652.37</v>
      </c>
      <c r="Q262" s="11">
        <f t="shared" si="26"/>
        <v>49.17999999999995</v>
      </c>
      <c r="R262" t="str">
        <f t="shared" si="29"/>
        <v>profit</v>
      </c>
    </row>
    <row r="263" spans="1:18" ht="15.75" customHeight="1" x14ac:dyDescent="0.4">
      <c r="A263" s="1" t="s">
        <v>554</v>
      </c>
      <c r="B263" s="2">
        <v>45138</v>
      </c>
      <c r="C263" s="2">
        <v>45142</v>
      </c>
      <c r="D263" s="2" t="str">
        <f t="shared" si="27"/>
        <v>2023</v>
      </c>
      <c r="E263" s="2" t="str">
        <f t="shared" si="24"/>
        <v>August</v>
      </c>
      <c r="F263" s="2" t="str">
        <f t="shared" si="28"/>
        <v>Q3</v>
      </c>
      <c r="G263" s="13">
        <f t="shared" si="25"/>
        <v>4</v>
      </c>
      <c r="H263" s="12" t="s">
        <v>1987</v>
      </c>
      <c r="I263" s="1" t="s">
        <v>29</v>
      </c>
      <c r="J263" s="1" t="s">
        <v>19</v>
      </c>
      <c r="K263" s="1" t="s">
        <v>92</v>
      </c>
      <c r="L263" s="1" t="s">
        <v>555</v>
      </c>
      <c r="M263" s="10">
        <v>100</v>
      </c>
      <c r="N263" s="8">
        <v>9</v>
      </c>
      <c r="O263" s="6">
        <v>0.32</v>
      </c>
      <c r="P263" s="10">
        <v>370.55</v>
      </c>
      <c r="Q263" s="11">
        <f t="shared" si="26"/>
        <v>-270.55</v>
      </c>
      <c r="R263" t="str">
        <f t="shared" si="29"/>
        <v>profit</v>
      </c>
    </row>
    <row r="264" spans="1:18" ht="15.75" customHeight="1" x14ac:dyDescent="0.4">
      <c r="A264" s="1" t="s">
        <v>556</v>
      </c>
      <c r="B264" s="2">
        <v>45039</v>
      </c>
      <c r="C264" s="2">
        <v>45041</v>
      </c>
      <c r="D264" s="2" t="str">
        <f t="shared" si="27"/>
        <v>2023</v>
      </c>
      <c r="E264" s="2" t="str">
        <f t="shared" si="24"/>
        <v>April</v>
      </c>
      <c r="F264" s="2" t="str">
        <f t="shared" si="28"/>
        <v>Q2</v>
      </c>
      <c r="G264" s="13">
        <f t="shared" si="25"/>
        <v>2</v>
      </c>
      <c r="H264" s="12" t="s">
        <v>1987</v>
      </c>
      <c r="I264" s="1" t="s">
        <v>53</v>
      </c>
      <c r="J264" s="1" t="s">
        <v>19</v>
      </c>
      <c r="K264" s="1" t="s">
        <v>92</v>
      </c>
      <c r="L264" s="1" t="s">
        <v>557</v>
      </c>
      <c r="M264" s="10">
        <v>240.03</v>
      </c>
      <c r="N264" s="8">
        <v>4</v>
      </c>
      <c r="O264" s="6">
        <v>0.2</v>
      </c>
      <c r="P264" s="10">
        <v>149.91</v>
      </c>
      <c r="Q264" s="11">
        <f t="shared" si="26"/>
        <v>90.12</v>
      </c>
      <c r="R264" t="str">
        <f t="shared" si="29"/>
        <v>profit</v>
      </c>
    </row>
    <row r="265" spans="1:18" ht="15.75" customHeight="1" x14ac:dyDescent="0.4">
      <c r="A265" s="1" t="s">
        <v>558</v>
      </c>
      <c r="B265" s="2">
        <v>44986</v>
      </c>
      <c r="C265" s="2">
        <v>44986</v>
      </c>
      <c r="D265" s="2" t="str">
        <f t="shared" si="27"/>
        <v>2023</v>
      </c>
      <c r="E265" s="2" t="str">
        <f t="shared" si="24"/>
        <v>March</v>
      </c>
      <c r="F265" s="2" t="str">
        <f t="shared" si="28"/>
        <v>Q2</v>
      </c>
      <c r="G265" s="13">
        <f t="shared" si="25"/>
        <v>0</v>
      </c>
      <c r="H265" s="12" t="s">
        <v>1986</v>
      </c>
      <c r="I265" s="1" t="s">
        <v>53</v>
      </c>
      <c r="J265" s="1" t="s">
        <v>25</v>
      </c>
      <c r="K265" s="1" t="s">
        <v>43</v>
      </c>
      <c r="L265" s="1" t="s">
        <v>559</v>
      </c>
      <c r="M265" s="10">
        <v>144.05000000000001</v>
      </c>
      <c r="N265" s="8">
        <v>5</v>
      </c>
      <c r="O265" s="6">
        <v>0.13</v>
      </c>
      <c r="P265" s="10">
        <v>77.22</v>
      </c>
      <c r="Q265" s="11">
        <f t="shared" si="26"/>
        <v>66.830000000000013</v>
      </c>
      <c r="R265" t="str">
        <f t="shared" si="29"/>
        <v>profit</v>
      </c>
    </row>
    <row r="266" spans="1:18" ht="15.75" customHeight="1" x14ac:dyDescent="0.4">
      <c r="A266" s="1" t="s">
        <v>560</v>
      </c>
      <c r="B266" s="2">
        <v>45492</v>
      </c>
      <c r="C266" s="2">
        <v>45500</v>
      </c>
      <c r="D266" s="2" t="str">
        <f t="shared" si="27"/>
        <v>2024</v>
      </c>
      <c r="E266" s="2" t="str">
        <f t="shared" si="24"/>
        <v>July</v>
      </c>
      <c r="F266" s="2" t="str">
        <f t="shared" si="28"/>
        <v>Q3</v>
      </c>
      <c r="G266" s="13">
        <f t="shared" si="25"/>
        <v>8</v>
      </c>
      <c r="H266" s="12" t="s">
        <v>1987</v>
      </c>
      <c r="I266" s="1" t="s">
        <v>24</v>
      </c>
      <c r="J266" s="1" t="s">
        <v>14</v>
      </c>
      <c r="K266" s="1" t="s">
        <v>54</v>
      </c>
      <c r="L266" s="1" t="s">
        <v>561</v>
      </c>
      <c r="M266" s="10">
        <v>497.87</v>
      </c>
      <c r="N266" s="8">
        <v>1</v>
      </c>
      <c r="O266" s="6">
        <v>0.31</v>
      </c>
      <c r="P266" s="10">
        <v>307.83999999999997</v>
      </c>
      <c r="Q266" s="11">
        <f t="shared" si="26"/>
        <v>190.03000000000003</v>
      </c>
      <c r="R266" t="str">
        <f t="shared" si="29"/>
        <v>profit</v>
      </c>
    </row>
    <row r="267" spans="1:18" ht="15.75" customHeight="1" x14ac:dyDescent="0.4">
      <c r="A267" s="1" t="s">
        <v>562</v>
      </c>
      <c r="B267" s="2">
        <v>45528</v>
      </c>
      <c r="C267" s="2">
        <v>45532</v>
      </c>
      <c r="D267" s="2" t="str">
        <f t="shared" si="27"/>
        <v>2024</v>
      </c>
      <c r="E267" s="2" t="str">
        <f t="shared" si="24"/>
        <v>August</v>
      </c>
      <c r="F267" s="2" t="str">
        <f t="shared" si="28"/>
        <v>Q3</v>
      </c>
      <c r="G267" s="13">
        <f t="shared" si="25"/>
        <v>4</v>
      </c>
      <c r="H267" s="12" t="s">
        <v>23</v>
      </c>
      <c r="I267" s="1" t="s">
        <v>53</v>
      </c>
      <c r="J267" s="1" t="s">
        <v>19</v>
      </c>
      <c r="K267" s="1" t="s">
        <v>35</v>
      </c>
      <c r="L267" s="1" t="s">
        <v>563</v>
      </c>
      <c r="M267" s="10">
        <v>186.81</v>
      </c>
      <c r="N267" s="8">
        <v>6</v>
      </c>
      <c r="O267" s="6">
        <v>0.24</v>
      </c>
      <c r="P267" s="10">
        <v>109.72</v>
      </c>
      <c r="Q267" s="11">
        <f t="shared" si="26"/>
        <v>77.09</v>
      </c>
      <c r="R267" t="str">
        <f t="shared" si="29"/>
        <v>profit</v>
      </c>
    </row>
    <row r="268" spans="1:18" ht="15.75" customHeight="1" x14ac:dyDescent="0.4">
      <c r="A268" s="1" t="s">
        <v>564</v>
      </c>
      <c r="B268" s="2">
        <v>45449</v>
      </c>
      <c r="C268" s="2">
        <v>45450</v>
      </c>
      <c r="D268" s="2" t="str">
        <f t="shared" si="27"/>
        <v>2024</v>
      </c>
      <c r="E268" s="2" t="str">
        <f t="shared" si="24"/>
        <v>June</v>
      </c>
      <c r="F268" s="2" t="str">
        <f t="shared" si="28"/>
        <v>Q3</v>
      </c>
      <c r="G268" s="13">
        <f t="shared" si="25"/>
        <v>1</v>
      </c>
      <c r="H268" s="12" t="s">
        <v>1986</v>
      </c>
      <c r="I268" s="1" t="s">
        <v>29</v>
      </c>
      <c r="J268" s="1" t="s">
        <v>25</v>
      </c>
      <c r="K268" s="1" t="s">
        <v>26</v>
      </c>
      <c r="L268" s="1" t="s">
        <v>565</v>
      </c>
      <c r="M268" s="10">
        <v>509.19</v>
      </c>
      <c r="N268" s="8">
        <v>6</v>
      </c>
      <c r="O268" s="6">
        <v>0.42</v>
      </c>
      <c r="P268" s="10">
        <v>274.41000000000003</v>
      </c>
      <c r="Q268" s="11">
        <f t="shared" si="26"/>
        <v>234.77999999999997</v>
      </c>
      <c r="R268" t="str">
        <f t="shared" si="29"/>
        <v>profit</v>
      </c>
    </row>
    <row r="269" spans="1:18" ht="15.75" customHeight="1" x14ac:dyDescent="0.4">
      <c r="A269" s="1" t="s">
        <v>566</v>
      </c>
      <c r="B269" s="2">
        <v>45529</v>
      </c>
      <c r="C269" s="2">
        <v>45535</v>
      </c>
      <c r="D269" s="2" t="str">
        <f t="shared" si="27"/>
        <v>2024</v>
      </c>
      <c r="E269" s="2" t="str">
        <f t="shared" si="24"/>
        <v>August</v>
      </c>
      <c r="F269" s="2" t="str">
        <f t="shared" si="28"/>
        <v>Q3</v>
      </c>
      <c r="G269" s="13">
        <f t="shared" si="25"/>
        <v>6</v>
      </c>
      <c r="H269" s="12" t="s">
        <v>42</v>
      </c>
      <c r="I269" s="1" t="s">
        <v>13</v>
      </c>
      <c r="J269" s="1" t="s">
        <v>25</v>
      </c>
      <c r="K269" s="1" t="s">
        <v>43</v>
      </c>
      <c r="L269" s="1" t="s">
        <v>567</v>
      </c>
      <c r="M269" s="10">
        <v>492.78</v>
      </c>
      <c r="N269" s="8">
        <v>7</v>
      </c>
      <c r="O269" s="6">
        <v>0.11</v>
      </c>
      <c r="P269" s="10">
        <v>425.49</v>
      </c>
      <c r="Q269" s="11">
        <f t="shared" si="26"/>
        <v>67.289999999999964</v>
      </c>
      <c r="R269" t="str">
        <f t="shared" si="29"/>
        <v>profit</v>
      </c>
    </row>
    <row r="270" spans="1:18" ht="15.75" customHeight="1" x14ac:dyDescent="0.4">
      <c r="A270" s="1" t="s">
        <v>568</v>
      </c>
      <c r="B270" s="2">
        <v>45196</v>
      </c>
      <c r="C270" s="2">
        <v>45196</v>
      </c>
      <c r="D270" s="2" t="str">
        <f t="shared" si="27"/>
        <v>2023</v>
      </c>
      <c r="E270" s="2" t="str">
        <f t="shared" si="24"/>
        <v>September</v>
      </c>
      <c r="F270" s="2" t="str">
        <f t="shared" si="28"/>
        <v>Q4</v>
      </c>
      <c r="G270" s="13">
        <f t="shared" si="25"/>
        <v>0</v>
      </c>
      <c r="H270" s="12" t="s">
        <v>1987</v>
      </c>
      <c r="I270" s="1" t="s">
        <v>24</v>
      </c>
      <c r="J270" s="1" t="s">
        <v>19</v>
      </c>
      <c r="K270" s="1" t="s">
        <v>20</v>
      </c>
      <c r="L270" s="1" t="s">
        <v>569</v>
      </c>
      <c r="M270" s="10">
        <v>890.97</v>
      </c>
      <c r="N270" s="8">
        <v>9</v>
      </c>
      <c r="O270" s="6">
        <v>0.4</v>
      </c>
      <c r="P270" s="10">
        <v>523.91999999999996</v>
      </c>
      <c r="Q270" s="11">
        <f t="shared" si="26"/>
        <v>367.05000000000007</v>
      </c>
      <c r="R270" t="str">
        <f t="shared" si="29"/>
        <v>profit</v>
      </c>
    </row>
    <row r="271" spans="1:18" ht="15.75" customHeight="1" x14ac:dyDescent="0.4">
      <c r="A271" s="1" t="s">
        <v>570</v>
      </c>
      <c r="B271" s="2">
        <v>45521</v>
      </c>
      <c r="C271" s="2">
        <v>45526</v>
      </c>
      <c r="D271" s="2" t="str">
        <f t="shared" si="27"/>
        <v>2024</v>
      </c>
      <c r="E271" s="2" t="str">
        <f t="shared" si="24"/>
        <v>August</v>
      </c>
      <c r="F271" s="2" t="str">
        <f t="shared" si="28"/>
        <v>Q3</v>
      </c>
      <c r="G271" s="13">
        <f t="shared" si="25"/>
        <v>5</v>
      </c>
      <c r="H271" s="12" t="s">
        <v>23</v>
      </c>
      <c r="I271" s="1" t="s">
        <v>13</v>
      </c>
      <c r="J271" s="1" t="s">
        <v>19</v>
      </c>
      <c r="K271" s="1" t="s">
        <v>35</v>
      </c>
      <c r="L271" s="1" t="s">
        <v>571</v>
      </c>
      <c r="M271" s="10">
        <v>522.39</v>
      </c>
      <c r="N271" s="8">
        <v>7</v>
      </c>
      <c r="O271" s="6">
        <v>0.33</v>
      </c>
      <c r="P271" s="10">
        <v>330.42</v>
      </c>
      <c r="Q271" s="11">
        <f t="shared" si="26"/>
        <v>191.96999999999997</v>
      </c>
      <c r="R271" t="str">
        <f t="shared" si="29"/>
        <v>profit</v>
      </c>
    </row>
    <row r="272" spans="1:18" ht="15.75" customHeight="1" x14ac:dyDescent="0.4">
      <c r="A272" s="1" t="s">
        <v>572</v>
      </c>
      <c r="B272" s="2">
        <v>44930</v>
      </c>
      <c r="C272" s="2">
        <v>44933</v>
      </c>
      <c r="D272" s="2" t="str">
        <f t="shared" si="27"/>
        <v>2023</v>
      </c>
      <c r="E272" s="2" t="str">
        <f t="shared" si="24"/>
        <v>January</v>
      </c>
      <c r="F272" s="2" t="str">
        <f t="shared" si="28"/>
        <v>Q1</v>
      </c>
      <c r="G272" s="13">
        <f t="shared" si="25"/>
        <v>3</v>
      </c>
      <c r="H272" s="12" t="s">
        <v>23</v>
      </c>
      <c r="I272" s="1" t="s">
        <v>53</v>
      </c>
      <c r="J272" s="1" t="s">
        <v>19</v>
      </c>
      <c r="K272" s="1" t="s">
        <v>35</v>
      </c>
      <c r="L272" s="1" t="s">
        <v>573</v>
      </c>
      <c r="M272" s="10">
        <v>526.69000000000005</v>
      </c>
      <c r="N272" s="8">
        <v>1</v>
      </c>
      <c r="O272" s="6">
        <v>0.16</v>
      </c>
      <c r="P272" s="10">
        <v>422.09</v>
      </c>
      <c r="Q272" s="11">
        <f t="shared" si="26"/>
        <v>104.60000000000008</v>
      </c>
      <c r="R272" t="str">
        <f t="shared" si="29"/>
        <v>profit</v>
      </c>
    </row>
    <row r="273" spans="1:18" ht="15.75" customHeight="1" x14ac:dyDescent="0.4">
      <c r="A273" s="1" t="s">
        <v>574</v>
      </c>
      <c r="B273" s="2">
        <v>45545</v>
      </c>
      <c r="C273" s="2">
        <v>45547</v>
      </c>
      <c r="D273" s="2" t="str">
        <f t="shared" si="27"/>
        <v>2024</v>
      </c>
      <c r="E273" s="2" t="str">
        <f t="shared" si="24"/>
        <v>September</v>
      </c>
      <c r="F273" s="2" t="str">
        <f t="shared" si="28"/>
        <v>Q4</v>
      </c>
      <c r="G273" s="13">
        <f t="shared" si="25"/>
        <v>2</v>
      </c>
      <c r="H273" s="12" t="s">
        <v>1986</v>
      </c>
      <c r="I273" s="1" t="s">
        <v>13</v>
      </c>
      <c r="J273" s="1" t="s">
        <v>14</v>
      </c>
      <c r="K273" s="1" t="s">
        <v>30</v>
      </c>
      <c r="L273" s="1" t="s">
        <v>575</v>
      </c>
      <c r="M273" s="10">
        <v>117.52</v>
      </c>
      <c r="N273" s="8">
        <v>7</v>
      </c>
      <c r="O273" s="6">
        <v>0.42</v>
      </c>
      <c r="P273" s="10">
        <v>22.38</v>
      </c>
      <c r="Q273" s="11">
        <f t="shared" si="26"/>
        <v>95.14</v>
      </c>
      <c r="R273" t="str">
        <f t="shared" si="29"/>
        <v>profit</v>
      </c>
    </row>
    <row r="274" spans="1:18" ht="15.75" customHeight="1" x14ac:dyDescent="0.4">
      <c r="A274" s="1" t="s">
        <v>576</v>
      </c>
      <c r="B274" s="2">
        <v>45361</v>
      </c>
      <c r="C274" s="2">
        <v>45363</v>
      </c>
      <c r="D274" s="2" t="str">
        <f t="shared" si="27"/>
        <v>2024</v>
      </c>
      <c r="E274" s="2" t="str">
        <f t="shared" si="24"/>
        <v>March</v>
      </c>
      <c r="F274" s="2" t="str">
        <f t="shared" si="28"/>
        <v>Q2</v>
      </c>
      <c r="G274" s="13">
        <f t="shared" si="25"/>
        <v>2</v>
      </c>
      <c r="H274" s="12" t="s">
        <v>23</v>
      </c>
      <c r="I274" s="1" t="s">
        <v>53</v>
      </c>
      <c r="J274" s="1" t="s">
        <v>14</v>
      </c>
      <c r="K274" s="1" t="s">
        <v>54</v>
      </c>
      <c r="L274" s="1" t="s">
        <v>577</v>
      </c>
      <c r="M274" s="10">
        <v>87.02</v>
      </c>
      <c r="N274" s="8">
        <v>9</v>
      </c>
      <c r="O274" s="6">
        <v>0.02</v>
      </c>
      <c r="P274" s="10">
        <v>44.64</v>
      </c>
      <c r="Q274" s="11">
        <f t="shared" si="26"/>
        <v>42.379999999999995</v>
      </c>
      <c r="R274" t="str">
        <f t="shared" si="29"/>
        <v>profit</v>
      </c>
    </row>
    <row r="275" spans="1:18" ht="15.75" customHeight="1" x14ac:dyDescent="0.4">
      <c r="A275" s="1" t="s">
        <v>578</v>
      </c>
      <c r="B275" s="2">
        <v>45303</v>
      </c>
      <c r="C275" s="2">
        <v>45305</v>
      </c>
      <c r="D275" s="2" t="str">
        <f t="shared" si="27"/>
        <v>2024</v>
      </c>
      <c r="E275" s="2" t="str">
        <f t="shared" si="24"/>
        <v>January</v>
      </c>
      <c r="F275" s="2" t="str">
        <f t="shared" si="28"/>
        <v>Q1</v>
      </c>
      <c r="G275" s="13">
        <f t="shared" si="25"/>
        <v>2</v>
      </c>
      <c r="H275" s="12" t="s">
        <v>1987</v>
      </c>
      <c r="I275" s="1" t="s">
        <v>46</v>
      </c>
      <c r="J275" s="1" t="s">
        <v>19</v>
      </c>
      <c r="K275" s="1" t="s">
        <v>92</v>
      </c>
      <c r="L275" s="1" t="s">
        <v>579</v>
      </c>
      <c r="M275" s="10">
        <v>163.69</v>
      </c>
      <c r="N275" s="8">
        <v>7</v>
      </c>
      <c r="O275" s="6">
        <v>0.16</v>
      </c>
      <c r="P275" s="10">
        <v>91.67</v>
      </c>
      <c r="Q275" s="11">
        <f t="shared" si="26"/>
        <v>72.02</v>
      </c>
      <c r="R275" t="str">
        <f t="shared" si="29"/>
        <v>profit</v>
      </c>
    </row>
    <row r="276" spans="1:18" ht="15.75" customHeight="1" x14ac:dyDescent="0.4">
      <c r="A276" s="1" t="s">
        <v>580</v>
      </c>
      <c r="B276" s="2">
        <v>45486</v>
      </c>
      <c r="C276" s="2">
        <v>45486</v>
      </c>
      <c r="D276" s="2" t="str">
        <f t="shared" si="27"/>
        <v>2024</v>
      </c>
      <c r="E276" s="2" t="str">
        <f t="shared" si="24"/>
        <v>July</v>
      </c>
      <c r="F276" s="2" t="str">
        <f t="shared" si="28"/>
        <v>Q3</v>
      </c>
      <c r="G276" s="13">
        <f t="shared" si="25"/>
        <v>0</v>
      </c>
      <c r="H276" s="12" t="s">
        <v>1986</v>
      </c>
      <c r="I276" s="1" t="s">
        <v>24</v>
      </c>
      <c r="J276" s="1" t="s">
        <v>19</v>
      </c>
      <c r="K276" s="1" t="s">
        <v>35</v>
      </c>
      <c r="L276" s="1" t="s">
        <v>581</v>
      </c>
      <c r="M276" s="10">
        <v>422.46</v>
      </c>
      <c r="N276" s="8">
        <v>9</v>
      </c>
      <c r="O276" s="6">
        <v>0</v>
      </c>
      <c r="P276" s="10">
        <v>375.53</v>
      </c>
      <c r="Q276" s="11">
        <f t="shared" si="26"/>
        <v>46.930000000000007</v>
      </c>
      <c r="R276" t="str">
        <f t="shared" si="29"/>
        <v>profit</v>
      </c>
    </row>
    <row r="277" spans="1:18" ht="15.75" customHeight="1" x14ac:dyDescent="0.4">
      <c r="A277" s="1" t="s">
        <v>582</v>
      </c>
      <c r="B277" s="2">
        <v>45485</v>
      </c>
      <c r="C277" s="2">
        <v>45485</v>
      </c>
      <c r="D277" s="2" t="str">
        <f t="shared" si="27"/>
        <v>2024</v>
      </c>
      <c r="E277" s="2" t="str">
        <f t="shared" si="24"/>
        <v>July</v>
      </c>
      <c r="F277" s="2" t="str">
        <f t="shared" si="28"/>
        <v>Q3</v>
      </c>
      <c r="G277" s="13">
        <f t="shared" si="25"/>
        <v>0</v>
      </c>
      <c r="H277" s="12" t="s">
        <v>1986</v>
      </c>
      <c r="I277" s="1" t="s">
        <v>13</v>
      </c>
      <c r="J277" s="1" t="s">
        <v>14</v>
      </c>
      <c r="K277" s="1" t="s">
        <v>15</v>
      </c>
      <c r="L277" s="1" t="s">
        <v>583</v>
      </c>
      <c r="M277" s="10">
        <v>66.489999999999995</v>
      </c>
      <c r="N277" s="8">
        <v>3</v>
      </c>
      <c r="O277" s="6">
        <v>0.4</v>
      </c>
      <c r="P277" s="10">
        <v>1.72</v>
      </c>
      <c r="Q277" s="11">
        <f t="shared" si="26"/>
        <v>64.77</v>
      </c>
      <c r="R277" t="str">
        <f t="shared" si="29"/>
        <v>profit</v>
      </c>
    </row>
    <row r="278" spans="1:18" ht="15.75" customHeight="1" x14ac:dyDescent="0.4">
      <c r="A278" s="1" t="s">
        <v>584</v>
      </c>
      <c r="C278" s="2">
        <v>45591</v>
      </c>
      <c r="D278" s="2" t="str">
        <f t="shared" si="27"/>
        <v/>
      </c>
      <c r="E278" s="2" t="str">
        <f t="shared" si="24"/>
        <v>October</v>
      </c>
      <c r="F278" s="2" t="str">
        <f t="shared" si="28"/>
        <v>Q4</v>
      </c>
      <c r="G278" s="13">
        <f t="shared" si="25"/>
        <v>45591</v>
      </c>
      <c r="H278" s="12" t="s">
        <v>1988</v>
      </c>
      <c r="I278" s="1" t="s">
        <v>18</v>
      </c>
      <c r="J278" s="1" t="s">
        <v>19</v>
      </c>
      <c r="K278" s="1" t="s">
        <v>92</v>
      </c>
      <c r="L278" s="1" t="s">
        <v>585</v>
      </c>
      <c r="M278" s="11" t="s">
        <v>1989</v>
      </c>
      <c r="N278" s="8">
        <v>1</v>
      </c>
      <c r="O278" s="6">
        <v>0.45</v>
      </c>
      <c r="P278" s="10">
        <v>470.24</v>
      </c>
      <c r="Q278" s="11" t="e">
        <f t="shared" si="26"/>
        <v>#VALUE!</v>
      </c>
      <c r="R278" t="str">
        <f t="shared" si="29"/>
        <v>profit</v>
      </c>
    </row>
    <row r="279" spans="1:18" ht="15.75" customHeight="1" x14ac:dyDescent="0.4">
      <c r="A279" s="1" t="s">
        <v>586</v>
      </c>
      <c r="B279" s="2">
        <v>45069</v>
      </c>
      <c r="C279" s="2">
        <v>45070</v>
      </c>
      <c r="D279" s="2" t="str">
        <f t="shared" si="27"/>
        <v>2023</v>
      </c>
      <c r="E279" s="2" t="str">
        <f t="shared" si="24"/>
        <v>May</v>
      </c>
      <c r="F279" s="2" t="str">
        <f t="shared" si="28"/>
        <v>Q2</v>
      </c>
      <c r="G279" s="13">
        <f t="shared" si="25"/>
        <v>1</v>
      </c>
      <c r="H279" s="12" t="s">
        <v>1987</v>
      </c>
      <c r="I279" s="1" t="s">
        <v>59</v>
      </c>
      <c r="J279" s="1" t="s">
        <v>19</v>
      </c>
      <c r="K279" s="1" t="s">
        <v>92</v>
      </c>
      <c r="L279" s="1" t="s">
        <v>587</v>
      </c>
      <c r="M279" s="10">
        <v>575.01</v>
      </c>
      <c r="N279" s="8">
        <v>7</v>
      </c>
      <c r="O279" s="6">
        <v>0.38</v>
      </c>
      <c r="P279" s="10">
        <v>308.66000000000003</v>
      </c>
      <c r="Q279" s="11">
        <f t="shared" si="26"/>
        <v>266.34999999999997</v>
      </c>
      <c r="R279" t="str">
        <f t="shared" si="29"/>
        <v>profit</v>
      </c>
    </row>
    <row r="280" spans="1:18" ht="15.75" customHeight="1" x14ac:dyDescent="0.4">
      <c r="A280" s="1" t="s">
        <v>588</v>
      </c>
      <c r="B280" s="2">
        <v>44931</v>
      </c>
      <c r="C280" s="2">
        <v>44932</v>
      </c>
      <c r="D280" s="2" t="str">
        <f t="shared" si="27"/>
        <v>2023</v>
      </c>
      <c r="E280" s="2" t="str">
        <f t="shared" si="24"/>
        <v>January</v>
      </c>
      <c r="F280" s="2" t="str">
        <f t="shared" si="28"/>
        <v>Q1</v>
      </c>
      <c r="G280" s="13">
        <f t="shared" si="25"/>
        <v>1</v>
      </c>
      <c r="H280" s="12" t="s">
        <v>23</v>
      </c>
      <c r="I280" s="1" t="s">
        <v>50</v>
      </c>
      <c r="J280" s="1" t="s">
        <v>19</v>
      </c>
      <c r="K280" s="1" t="s">
        <v>92</v>
      </c>
      <c r="L280" s="1" t="s">
        <v>589</v>
      </c>
      <c r="M280" s="10">
        <v>591.24</v>
      </c>
      <c r="N280" s="8">
        <v>2</v>
      </c>
      <c r="O280" s="6">
        <v>0.14000000000000001</v>
      </c>
      <c r="P280" s="10">
        <v>496.16</v>
      </c>
      <c r="Q280" s="11">
        <f t="shared" si="26"/>
        <v>95.079999999999984</v>
      </c>
      <c r="R280" t="str">
        <f t="shared" si="29"/>
        <v>profit</v>
      </c>
    </row>
    <row r="281" spans="1:18" ht="15.75" customHeight="1" x14ac:dyDescent="0.4">
      <c r="A281" s="1" t="s">
        <v>590</v>
      </c>
      <c r="C281" s="2">
        <v>45273</v>
      </c>
      <c r="D281" s="2" t="str">
        <f t="shared" si="27"/>
        <v/>
      </c>
      <c r="E281" s="2" t="str">
        <f t="shared" si="24"/>
        <v>December</v>
      </c>
      <c r="F281" s="2" t="str">
        <f t="shared" si="28"/>
        <v>Q4</v>
      </c>
      <c r="G281" s="13">
        <f t="shared" si="25"/>
        <v>45273</v>
      </c>
      <c r="H281" s="12" t="s">
        <v>1988</v>
      </c>
      <c r="I281" s="1" t="s">
        <v>29</v>
      </c>
      <c r="J281" s="1" t="s">
        <v>14</v>
      </c>
      <c r="K281" s="1" t="s">
        <v>30</v>
      </c>
      <c r="L281" s="1" t="s">
        <v>115</v>
      </c>
      <c r="M281" s="11" t="s">
        <v>1989</v>
      </c>
      <c r="N281" s="8">
        <v>3</v>
      </c>
      <c r="O281" s="6">
        <v>0.38</v>
      </c>
      <c r="P281" s="10">
        <v>123.17</v>
      </c>
      <c r="Q281" s="11" t="e">
        <f t="shared" si="26"/>
        <v>#VALUE!</v>
      </c>
      <c r="R281" t="str">
        <f t="shared" si="29"/>
        <v>profit</v>
      </c>
    </row>
    <row r="282" spans="1:18" ht="15.75" customHeight="1" x14ac:dyDescent="0.4">
      <c r="A282" s="1" t="s">
        <v>591</v>
      </c>
      <c r="B282" s="2">
        <v>44936</v>
      </c>
      <c r="C282" s="2">
        <v>44937</v>
      </c>
      <c r="D282" s="2" t="str">
        <f t="shared" si="27"/>
        <v>2023</v>
      </c>
      <c r="E282" s="2" t="str">
        <f t="shared" si="24"/>
        <v>January</v>
      </c>
      <c r="F282" s="2" t="str">
        <f t="shared" si="28"/>
        <v>Q1</v>
      </c>
      <c r="G282" s="13">
        <f t="shared" si="25"/>
        <v>1</v>
      </c>
      <c r="H282" s="12" t="s">
        <v>23</v>
      </c>
      <c r="I282" s="1" t="s">
        <v>18</v>
      </c>
      <c r="J282" s="1" t="s">
        <v>19</v>
      </c>
      <c r="K282" s="1" t="s">
        <v>20</v>
      </c>
      <c r="L282" s="1" t="s">
        <v>592</v>
      </c>
      <c r="M282" s="10">
        <v>395.08</v>
      </c>
      <c r="N282" s="8">
        <v>6</v>
      </c>
      <c r="O282" s="6">
        <v>0.21</v>
      </c>
      <c r="P282" s="10">
        <v>278.20999999999998</v>
      </c>
      <c r="Q282" s="11">
        <f t="shared" si="26"/>
        <v>116.87</v>
      </c>
      <c r="R282" t="str">
        <f t="shared" si="29"/>
        <v>profit</v>
      </c>
    </row>
    <row r="283" spans="1:18" ht="15.75" customHeight="1" x14ac:dyDescent="0.4">
      <c r="A283" s="1" t="s">
        <v>593</v>
      </c>
      <c r="B283" s="2">
        <v>44959</v>
      </c>
      <c r="C283" s="2">
        <v>44959</v>
      </c>
      <c r="D283" s="2" t="str">
        <f t="shared" si="27"/>
        <v>2023</v>
      </c>
      <c r="E283" s="2" t="str">
        <f t="shared" si="24"/>
        <v>February</v>
      </c>
      <c r="F283" s="2" t="str">
        <f t="shared" si="28"/>
        <v>Q1</v>
      </c>
      <c r="G283" s="13">
        <f t="shared" si="25"/>
        <v>0</v>
      </c>
      <c r="H283" s="12" t="s">
        <v>42</v>
      </c>
      <c r="I283" s="1" t="s">
        <v>13</v>
      </c>
      <c r="J283" s="1" t="s">
        <v>14</v>
      </c>
      <c r="K283" s="1" t="s">
        <v>54</v>
      </c>
      <c r="L283" s="1" t="s">
        <v>594</v>
      </c>
      <c r="M283" s="10">
        <v>914.49</v>
      </c>
      <c r="N283" s="8">
        <v>1</v>
      </c>
      <c r="O283" s="6">
        <v>0.12</v>
      </c>
      <c r="P283" s="10">
        <v>780.88</v>
      </c>
      <c r="Q283" s="11">
        <f t="shared" si="26"/>
        <v>133.61000000000001</v>
      </c>
      <c r="R283" t="str">
        <f t="shared" si="29"/>
        <v>profit</v>
      </c>
    </row>
    <row r="284" spans="1:18" ht="15.75" customHeight="1" x14ac:dyDescent="0.4">
      <c r="A284" s="1" t="s">
        <v>595</v>
      </c>
      <c r="B284" s="2">
        <v>45413</v>
      </c>
      <c r="C284" s="2">
        <v>45417</v>
      </c>
      <c r="D284" s="2" t="str">
        <f t="shared" si="27"/>
        <v>2024</v>
      </c>
      <c r="E284" s="2" t="str">
        <f t="shared" si="24"/>
        <v>May</v>
      </c>
      <c r="F284" s="2" t="str">
        <f t="shared" si="28"/>
        <v>Q2</v>
      </c>
      <c r="G284" s="13">
        <f t="shared" si="25"/>
        <v>4</v>
      </c>
      <c r="H284" s="12" t="s">
        <v>1987</v>
      </c>
      <c r="I284" s="1" t="s">
        <v>53</v>
      </c>
      <c r="J284" s="1" t="s">
        <v>14</v>
      </c>
      <c r="K284" s="1" t="s">
        <v>30</v>
      </c>
      <c r="L284" s="1" t="s">
        <v>596</v>
      </c>
      <c r="M284" s="10">
        <v>321.66000000000003</v>
      </c>
      <c r="N284" s="8">
        <v>8</v>
      </c>
      <c r="O284" s="6">
        <v>0.11</v>
      </c>
      <c r="P284" s="10">
        <v>244.45</v>
      </c>
      <c r="Q284" s="11">
        <f t="shared" si="26"/>
        <v>77.210000000000036</v>
      </c>
      <c r="R284" t="str">
        <f t="shared" si="29"/>
        <v>profit</v>
      </c>
    </row>
    <row r="285" spans="1:18" ht="15.75" customHeight="1" x14ac:dyDescent="0.4">
      <c r="A285" s="1" t="s">
        <v>597</v>
      </c>
      <c r="B285" s="2">
        <v>45165</v>
      </c>
      <c r="C285" s="2">
        <v>45165</v>
      </c>
      <c r="D285" s="2" t="str">
        <f t="shared" si="27"/>
        <v>2023</v>
      </c>
      <c r="E285" s="2" t="str">
        <f t="shared" si="24"/>
        <v>August</v>
      </c>
      <c r="F285" s="2" t="str">
        <f t="shared" si="28"/>
        <v>Q3</v>
      </c>
      <c r="G285" s="13">
        <f t="shared" si="25"/>
        <v>0</v>
      </c>
      <c r="H285" s="12" t="s">
        <v>23</v>
      </c>
      <c r="I285" s="1" t="s">
        <v>18</v>
      </c>
      <c r="J285" s="1" t="s">
        <v>25</v>
      </c>
      <c r="K285" s="1" t="s">
        <v>47</v>
      </c>
      <c r="L285" s="1" t="s">
        <v>598</v>
      </c>
      <c r="M285" s="10">
        <v>724.29</v>
      </c>
      <c r="N285" s="8">
        <v>6</v>
      </c>
      <c r="O285" s="6">
        <v>7.0000000000000007E-2</v>
      </c>
      <c r="P285" s="10">
        <v>641.85</v>
      </c>
      <c r="Q285" s="11">
        <f t="shared" si="26"/>
        <v>82.439999999999941</v>
      </c>
      <c r="R285" t="str">
        <f t="shared" si="29"/>
        <v>profit</v>
      </c>
    </row>
    <row r="286" spans="1:18" ht="15.75" customHeight="1" x14ac:dyDescent="0.4">
      <c r="A286" s="1" t="s">
        <v>599</v>
      </c>
      <c r="B286" s="2">
        <v>45057</v>
      </c>
      <c r="C286" s="2">
        <v>45060</v>
      </c>
      <c r="D286" s="2" t="str">
        <f t="shared" si="27"/>
        <v>2023</v>
      </c>
      <c r="E286" s="2" t="str">
        <f t="shared" si="24"/>
        <v>May</v>
      </c>
      <c r="F286" s="2" t="str">
        <f t="shared" si="28"/>
        <v>Q2</v>
      </c>
      <c r="G286" s="13">
        <f t="shared" si="25"/>
        <v>3</v>
      </c>
      <c r="H286" s="12" t="s">
        <v>1987</v>
      </c>
      <c r="I286" s="1" t="s">
        <v>18</v>
      </c>
      <c r="J286" s="1" t="s">
        <v>25</v>
      </c>
      <c r="K286" s="1" t="s">
        <v>26</v>
      </c>
      <c r="L286" s="1" t="s">
        <v>600</v>
      </c>
      <c r="M286" s="10">
        <v>697.87</v>
      </c>
      <c r="N286" s="8">
        <v>4</v>
      </c>
      <c r="O286" s="6">
        <v>0.13</v>
      </c>
      <c r="P286" s="10">
        <v>573.59</v>
      </c>
      <c r="Q286" s="11">
        <f t="shared" si="26"/>
        <v>124.27999999999997</v>
      </c>
      <c r="R286" t="str">
        <f t="shared" si="29"/>
        <v>profit</v>
      </c>
    </row>
    <row r="287" spans="1:18" ht="15.75" customHeight="1" x14ac:dyDescent="0.4">
      <c r="A287" s="1" t="s">
        <v>601</v>
      </c>
      <c r="B287" s="2">
        <v>45150</v>
      </c>
      <c r="C287" s="2">
        <v>45155</v>
      </c>
      <c r="D287" s="2" t="str">
        <f t="shared" si="27"/>
        <v>2023</v>
      </c>
      <c r="E287" s="2" t="str">
        <f t="shared" si="24"/>
        <v>August</v>
      </c>
      <c r="F287" s="2" t="str">
        <f t="shared" si="28"/>
        <v>Q3</v>
      </c>
      <c r="G287" s="13">
        <f t="shared" si="25"/>
        <v>5</v>
      </c>
      <c r="H287" s="12" t="s">
        <v>1987</v>
      </c>
      <c r="I287" s="1" t="s">
        <v>24</v>
      </c>
      <c r="J287" s="1" t="s">
        <v>14</v>
      </c>
      <c r="K287" s="1" t="s">
        <v>54</v>
      </c>
      <c r="L287" s="1" t="s">
        <v>602</v>
      </c>
      <c r="M287" s="10">
        <v>635.08000000000004</v>
      </c>
      <c r="N287" s="8">
        <v>8</v>
      </c>
      <c r="O287" s="6">
        <v>0.46</v>
      </c>
      <c r="P287" s="10">
        <v>316.7</v>
      </c>
      <c r="Q287" s="11">
        <f t="shared" si="26"/>
        <v>318.38000000000005</v>
      </c>
      <c r="R287" t="str">
        <f t="shared" si="29"/>
        <v>profit</v>
      </c>
    </row>
    <row r="288" spans="1:18" ht="15.75" customHeight="1" x14ac:dyDescent="0.4">
      <c r="A288" s="1" t="s">
        <v>603</v>
      </c>
      <c r="B288" s="2">
        <v>45451</v>
      </c>
      <c r="C288" s="2">
        <v>45455</v>
      </c>
      <c r="D288" s="2" t="str">
        <f t="shared" si="27"/>
        <v>2024</v>
      </c>
      <c r="E288" s="2" t="str">
        <f t="shared" si="24"/>
        <v>June</v>
      </c>
      <c r="F288" s="2" t="str">
        <f t="shared" si="28"/>
        <v>Q3</v>
      </c>
      <c r="G288" s="13">
        <f t="shared" si="25"/>
        <v>4</v>
      </c>
      <c r="H288" s="12" t="s">
        <v>42</v>
      </c>
      <c r="I288" s="1" t="s">
        <v>53</v>
      </c>
      <c r="J288" s="1" t="s">
        <v>19</v>
      </c>
      <c r="K288" s="1" t="s">
        <v>92</v>
      </c>
      <c r="L288" s="1" t="s">
        <v>604</v>
      </c>
      <c r="M288" s="10">
        <v>166.43</v>
      </c>
      <c r="N288" s="8">
        <v>4</v>
      </c>
      <c r="O288" s="6">
        <v>0.25</v>
      </c>
      <c r="P288" s="10">
        <v>111.21</v>
      </c>
      <c r="Q288" s="11">
        <f t="shared" si="26"/>
        <v>55.220000000000013</v>
      </c>
      <c r="R288" t="str">
        <f t="shared" si="29"/>
        <v>profit</v>
      </c>
    </row>
    <row r="289" spans="1:18" ht="15.75" customHeight="1" x14ac:dyDescent="0.4">
      <c r="A289" s="1" t="s">
        <v>605</v>
      </c>
      <c r="B289" s="2">
        <v>45341</v>
      </c>
      <c r="C289" s="2">
        <v>45350</v>
      </c>
      <c r="D289" s="2" t="str">
        <f t="shared" si="27"/>
        <v>2024</v>
      </c>
      <c r="E289" s="2" t="str">
        <f t="shared" si="24"/>
        <v>February</v>
      </c>
      <c r="F289" s="2" t="str">
        <f t="shared" si="28"/>
        <v>Q1</v>
      </c>
      <c r="G289" s="13">
        <f t="shared" si="25"/>
        <v>9</v>
      </c>
      <c r="H289" s="12" t="s">
        <v>23</v>
      </c>
      <c r="I289" s="1" t="s">
        <v>29</v>
      </c>
      <c r="J289" s="1" t="s">
        <v>19</v>
      </c>
      <c r="K289" s="1" t="s">
        <v>35</v>
      </c>
      <c r="L289" s="1" t="s">
        <v>606</v>
      </c>
      <c r="M289" s="10">
        <v>907.99</v>
      </c>
      <c r="N289" s="8">
        <v>9</v>
      </c>
      <c r="O289" s="6">
        <v>0.41</v>
      </c>
      <c r="P289" s="10">
        <v>506.77</v>
      </c>
      <c r="Q289" s="11">
        <f t="shared" si="26"/>
        <v>401.22</v>
      </c>
      <c r="R289" t="str">
        <f t="shared" si="29"/>
        <v>profit</v>
      </c>
    </row>
    <row r="290" spans="1:18" ht="15.75" customHeight="1" x14ac:dyDescent="0.4">
      <c r="A290" s="1" t="s">
        <v>607</v>
      </c>
      <c r="B290" s="2">
        <v>45394</v>
      </c>
      <c r="C290" s="2">
        <v>45394</v>
      </c>
      <c r="D290" s="2" t="str">
        <f t="shared" si="27"/>
        <v>2024</v>
      </c>
      <c r="E290" s="2" t="str">
        <f t="shared" si="24"/>
        <v>April</v>
      </c>
      <c r="F290" s="2" t="str">
        <f t="shared" si="28"/>
        <v>Q2</v>
      </c>
      <c r="G290" s="13">
        <f t="shared" si="25"/>
        <v>0</v>
      </c>
      <c r="H290" s="12" t="s">
        <v>1986</v>
      </c>
      <c r="I290" s="1" t="s">
        <v>53</v>
      </c>
      <c r="J290" s="1" t="s">
        <v>14</v>
      </c>
      <c r="K290" s="1" t="s">
        <v>15</v>
      </c>
      <c r="L290" s="1" t="s">
        <v>608</v>
      </c>
      <c r="M290" s="10">
        <v>307.26</v>
      </c>
      <c r="N290" s="8">
        <v>8</v>
      </c>
      <c r="O290" s="6">
        <v>0.21</v>
      </c>
      <c r="P290" s="10">
        <v>222.87</v>
      </c>
      <c r="Q290" s="11">
        <f t="shared" si="26"/>
        <v>84.389999999999986</v>
      </c>
      <c r="R290" t="str">
        <f t="shared" si="29"/>
        <v>profit</v>
      </c>
    </row>
    <row r="291" spans="1:18" ht="15.75" customHeight="1" x14ac:dyDescent="0.4">
      <c r="A291" s="1" t="s">
        <v>609</v>
      </c>
      <c r="B291" s="2">
        <v>44970</v>
      </c>
      <c r="C291" s="2">
        <v>44979</v>
      </c>
      <c r="D291" s="2" t="str">
        <f t="shared" si="27"/>
        <v>2023</v>
      </c>
      <c r="E291" s="2" t="str">
        <f t="shared" si="24"/>
        <v>February</v>
      </c>
      <c r="F291" s="2" t="str">
        <f t="shared" si="28"/>
        <v>Q1</v>
      </c>
      <c r="G291" s="13">
        <f t="shared" si="25"/>
        <v>9</v>
      </c>
      <c r="H291" s="12" t="s">
        <v>23</v>
      </c>
      <c r="I291" s="1" t="s">
        <v>29</v>
      </c>
      <c r="J291" s="1" t="s">
        <v>19</v>
      </c>
      <c r="K291" s="1" t="s">
        <v>92</v>
      </c>
      <c r="L291" s="1" t="s">
        <v>610</v>
      </c>
      <c r="M291" s="10">
        <v>86.6</v>
      </c>
      <c r="N291" s="8">
        <v>9</v>
      </c>
      <c r="O291" s="6">
        <v>0.01</v>
      </c>
      <c r="P291" s="10">
        <v>40.340000000000003</v>
      </c>
      <c r="Q291" s="11">
        <f t="shared" si="26"/>
        <v>46.259999999999991</v>
      </c>
      <c r="R291" t="str">
        <f t="shared" si="29"/>
        <v>profit</v>
      </c>
    </row>
    <row r="292" spans="1:18" ht="15.75" customHeight="1" x14ac:dyDescent="0.4">
      <c r="A292" s="1" t="s">
        <v>611</v>
      </c>
      <c r="B292" s="2">
        <v>45358</v>
      </c>
      <c r="C292" s="2">
        <v>45366</v>
      </c>
      <c r="D292" s="2" t="str">
        <f t="shared" si="27"/>
        <v>2024</v>
      </c>
      <c r="E292" s="2" t="str">
        <f t="shared" si="24"/>
        <v>March</v>
      </c>
      <c r="F292" s="2" t="str">
        <f t="shared" si="28"/>
        <v>Q2</v>
      </c>
      <c r="G292" s="13">
        <f t="shared" si="25"/>
        <v>8</v>
      </c>
      <c r="H292" s="12" t="s">
        <v>1986</v>
      </c>
      <c r="I292" s="1" t="s">
        <v>29</v>
      </c>
      <c r="J292" s="1" t="s">
        <v>14</v>
      </c>
      <c r="K292" s="1" t="s">
        <v>30</v>
      </c>
      <c r="L292" s="1" t="s">
        <v>612</v>
      </c>
      <c r="M292" s="10">
        <v>561.29</v>
      </c>
      <c r="N292" s="8">
        <v>6</v>
      </c>
      <c r="O292" s="6">
        <v>0.21</v>
      </c>
      <c r="P292" s="10">
        <v>423.95</v>
      </c>
      <c r="Q292" s="11">
        <f t="shared" si="26"/>
        <v>137.33999999999997</v>
      </c>
      <c r="R292" t="str">
        <f t="shared" si="29"/>
        <v>profit</v>
      </c>
    </row>
    <row r="293" spans="1:18" ht="15.75" customHeight="1" x14ac:dyDescent="0.4">
      <c r="A293" s="1" t="s">
        <v>613</v>
      </c>
      <c r="B293" s="2">
        <v>45434</v>
      </c>
      <c r="C293" s="2">
        <v>45437</v>
      </c>
      <c r="D293" s="2" t="str">
        <f t="shared" si="27"/>
        <v>2024</v>
      </c>
      <c r="E293" s="2" t="str">
        <f t="shared" si="24"/>
        <v>May</v>
      </c>
      <c r="F293" s="2" t="str">
        <f t="shared" si="28"/>
        <v>Q2</v>
      </c>
      <c r="G293" s="13">
        <f t="shared" si="25"/>
        <v>3</v>
      </c>
      <c r="H293" s="12" t="s">
        <v>23</v>
      </c>
      <c r="I293" s="1" t="s">
        <v>59</v>
      </c>
      <c r="J293" s="1" t="s">
        <v>25</v>
      </c>
      <c r="K293" s="1" t="s">
        <v>26</v>
      </c>
      <c r="L293" s="1" t="s">
        <v>614</v>
      </c>
      <c r="M293" s="10">
        <v>316.58999999999997</v>
      </c>
      <c r="N293" s="8">
        <v>5</v>
      </c>
      <c r="O293" s="6">
        <v>0.08</v>
      </c>
      <c r="P293" s="10">
        <v>243.83</v>
      </c>
      <c r="Q293" s="11">
        <f t="shared" si="26"/>
        <v>72.759999999999962</v>
      </c>
      <c r="R293" t="str">
        <f t="shared" si="29"/>
        <v>profit</v>
      </c>
    </row>
    <row r="294" spans="1:18" ht="15.75" customHeight="1" x14ac:dyDescent="0.4">
      <c r="A294" s="1" t="s">
        <v>615</v>
      </c>
      <c r="B294" s="2">
        <v>45225</v>
      </c>
      <c r="C294" s="2">
        <v>45228</v>
      </c>
      <c r="D294" s="2" t="str">
        <f t="shared" si="27"/>
        <v>2023</v>
      </c>
      <c r="E294" s="2" t="str">
        <f t="shared" si="24"/>
        <v>October</v>
      </c>
      <c r="F294" s="2" t="str">
        <f t="shared" si="28"/>
        <v>Q4</v>
      </c>
      <c r="G294" s="13">
        <f t="shared" si="25"/>
        <v>3</v>
      </c>
      <c r="H294" s="12" t="s">
        <v>42</v>
      </c>
      <c r="I294" s="1" t="s">
        <v>50</v>
      </c>
      <c r="J294" s="1" t="s">
        <v>25</v>
      </c>
      <c r="K294" s="1" t="s">
        <v>26</v>
      </c>
      <c r="L294" s="1" t="s">
        <v>616</v>
      </c>
      <c r="M294" s="10">
        <v>746.65</v>
      </c>
      <c r="N294" s="8">
        <v>6</v>
      </c>
      <c r="O294" s="6">
        <v>0.42</v>
      </c>
      <c r="P294" s="10">
        <v>403.26</v>
      </c>
      <c r="Q294" s="11">
        <f t="shared" si="26"/>
        <v>343.39</v>
      </c>
      <c r="R294" t="str">
        <f t="shared" si="29"/>
        <v>profit</v>
      </c>
    </row>
    <row r="295" spans="1:18" ht="15.75" customHeight="1" x14ac:dyDescent="0.4">
      <c r="A295" s="1" t="s">
        <v>617</v>
      </c>
      <c r="B295" s="2">
        <v>45402</v>
      </c>
      <c r="C295" s="2">
        <v>45410</v>
      </c>
      <c r="D295" s="2" t="str">
        <f t="shared" si="27"/>
        <v>2024</v>
      </c>
      <c r="E295" s="2" t="str">
        <f t="shared" si="24"/>
        <v>April</v>
      </c>
      <c r="F295" s="2" t="str">
        <f t="shared" si="28"/>
        <v>Q2</v>
      </c>
      <c r="G295" s="13">
        <f t="shared" si="25"/>
        <v>8</v>
      </c>
      <c r="H295" s="12" t="s">
        <v>23</v>
      </c>
      <c r="I295" s="1" t="s">
        <v>13</v>
      </c>
      <c r="J295" s="1" t="s">
        <v>19</v>
      </c>
      <c r="K295" s="1" t="s">
        <v>35</v>
      </c>
      <c r="L295" s="1" t="s">
        <v>618</v>
      </c>
      <c r="M295" s="10">
        <v>65.55</v>
      </c>
      <c r="N295" s="8">
        <v>3</v>
      </c>
      <c r="O295" s="6">
        <v>0.38</v>
      </c>
      <c r="P295" s="10">
        <v>25.79</v>
      </c>
      <c r="Q295" s="11">
        <f t="shared" si="26"/>
        <v>39.76</v>
      </c>
      <c r="R295" t="str">
        <f t="shared" si="29"/>
        <v>profit</v>
      </c>
    </row>
    <row r="296" spans="1:18" ht="15.75" customHeight="1" x14ac:dyDescent="0.4">
      <c r="A296" s="1" t="s">
        <v>619</v>
      </c>
      <c r="B296" s="2">
        <v>45381</v>
      </c>
      <c r="C296" s="2">
        <v>45382</v>
      </c>
      <c r="D296" s="2" t="str">
        <f t="shared" si="27"/>
        <v>2024</v>
      </c>
      <c r="E296" s="2" t="str">
        <f t="shared" si="24"/>
        <v>March</v>
      </c>
      <c r="F296" s="2" t="str">
        <f t="shared" si="28"/>
        <v>Q2</v>
      </c>
      <c r="G296" s="13">
        <f t="shared" si="25"/>
        <v>1</v>
      </c>
      <c r="H296" s="12" t="s">
        <v>23</v>
      </c>
      <c r="I296" s="1" t="s">
        <v>50</v>
      </c>
      <c r="J296" s="1" t="s">
        <v>25</v>
      </c>
      <c r="K296" s="1" t="s">
        <v>47</v>
      </c>
      <c r="L296" s="1" t="s">
        <v>620</v>
      </c>
      <c r="M296" s="10">
        <v>428.75</v>
      </c>
      <c r="N296" s="8">
        <v>2</v>
      </c>
      <c r="O296" s="6">
        <v>0.1</v>
      </c>
      <c r="P296" s="10">
        <v>373.91</v>
      </c>
      <c r="Q296" s="11">
        <f t="shared" si="26"/>
        <v>54.839999999999975</v>
      </c>
      <c r="R296" t="str">
        <f t="shared" si="29"/>
        <v>profit</v>
      </c>
    </row>
    <row r="297" spans="1:18" ht="15.75" customHeight="1" x14ac:dyDescent="0.4">
      <c r="A297" s="1" t="s">
        <v>621</v>
      </c>
      <c r="B297" s="2">
        <v>45241</v>
      </c>
      <c r="C297" s="2">
        <v>45247</v>
      </c>
      <c r="D297" s="2" t="str">
        <f t="shared" si="27"/>
        <v>2023</v>
      </c>
      <c r="E297" s="2" t="str">
        <f t="shared" si="24"/>
        <v>November</v>
      </c>
      <c r="F297" s="2" t="str">
        <f t="shared" si="28"/>
        <v>Q4</v>
      </c>
      <c r="G297" s="13">
        <f t="shared" si="25"/>
        <v>6</v>
      </c>
      <c r="H297" s="12" t="s">
        <v>23</v>
      </c>
      <c r="I297" s="1" t="s">
        <v>24</v>
      </c>
      <c r="J297" s="1" t="s">
        <v>19</v>
      </c>
      <c r="K297" s="1" t="s">
        <v>92</v>
      </c>
      <c r="L297" s="1" t="s">
        <v>622</v>
      </c>
      <c r="M297" s="10">
        <v>950.68</v>
      </c>
      <c r="N297" s="8">
        <v>6</v>
      </c>
      <c r="O297" s="6">
        <v>0.37</v>
      </c>
      <c r="P297" s="10">
        <v>562.14</v>
      </c>
      <c r="Q297" s="11">
        <f t="shared" si="26"/>
        <v>388.53999999999996</v>
      </c>
      <c r="R297" t="str">
        <f t="shared" si="29"/>
        <v>profit</v>
      </c>
    </row>
    <row r="298" spans="1:18" ht="15.75" customHeight="1" x14ac:dyDescent="0.4">
      <c r="A298" s="1" t="s">
        <v>623</v>
      </c>
      <c r="B298" s="2">
        <v>45119</v>
      </c>
      <c r="C298" s="2">
        <v>45121</v>
      </c>
      <c r="D298" s="2" t="str">
        <f t="shared" si="27"/>
        <v>2023</v>
      </c>
      <c r="E298" s="2" t="str">
        <f t="shared" si="24"/>
        <v>July</v>
      </c>
      <c r="F298" s="2" t="str">
        <f t="shared" si="28"/>
        <v>Q3</v>
      </c>
      <c r="G298" s="13">
        <f t="shared" si="25"/>
        <v>2</v>
      </c>
      <c r="H298" s="12" t="s">
        <v>1987</v>
      </c>
      <c r="I298" s="1" t="s">
        <v>13</v>
      </c>
      <c r="J298" s="1" t="s">
        <v>19</v>
      </c>
      <c r="K298" s="1" t="s">
        <v>92</v>
      </c>
      <c r="L298" s="1" t="s">
        <v>624</v>
      </c>
      <c r="M298" s="10">
        <v>381.47</v>
      </c>
      <c r="N298" s="8">
        <v>4</v>
      </c>
      <c r="O298" s="6">
        <v>0.35</v>
      </c>
      <c r="P298" s="10">
        <v>237.79</v>
      </c>
      <c r="Q298" s="11">
        <f t="shared" si="26"/>
        <v>143.68000000000004</v>
      </c>
      <c r="R298" t="str">
        <f t="shared" si="29"/>
        <v>profit</v>
      </c>
    </row>
    <row r="299" spans="1:18" ht="15.75" customHeight="1" x14ac:dyDescent="0.4">
      <c r="A299" s="1" t="s">
        <v>625</v>
      </c>
      <c r="B299" s="2">
        <v>45223</v>
      </c>
      <c r="C299" s="2">
        <v>45227</v>
      </c>
      <c r="D299" s="2" t="str">
        <f t="shared" si="27"/>
        <v>2023</v>
      </c>
      <c r="E299" s="2" t="str">
        <f t="shared" si="24"/>
        <v>October</v>
      </c>
      <c r="F299" s="2" t="str">
        <f t="shared" si="28"/>
        <v>Q4</v>
      </c>
      <c r="G299" s="13">
        <f t="shared" si="25"/>
        <v>4</v>
      </c>
      <c r="H299" s="12" t="s">
        <v>23</v>
      </c>
      <c r="I299" s="1" t="s">
        <v>18</v>
      </c>
      <c r="J299" s="1" t="s">
        <v>19</v>
      </c>
      <c r="K299" s="1" t="s">
        <v>92</v>
      </c>
      <c r="L299" s="1" t="s">
        <v>626</v>
      </c>
      <c r="M299" s="10">
        <v>931.09</v>
      </c>
      <c r="N299" s="8">
        <v>2</v>
      </c>
      <c r="O299" s="6">
        <v>-5</v>
      </c>
      <c r="P299" s="10">
        <v>825.97</v>
      </c>
      <c r="Q299" s="11">
        <f t="shared" si="26"/>
        <v>105.12</v>
      </c>
      <c r="R299" t="str">
        <f t="shared" si="29"/>
        <v>profit</v>
      </c>
    </row>
    <row r="300" spans="1:18" ht="15.75" customHeight="1" x14ac:dyDescent="0.4">
      <c r="A300" s="1" t="s">
        <v>627</v>
      </c>
      <c r="C300" s="2">
        <v>45353</v>
      </c>
      <c r="D300" s="2" t="str">
        <f t="shared" si="27"/>
        <v/>
      </c>
      <c r="E300" s="2" t="str">
        <f t="shared" si="24"/>
        <v>March</v>
      </c>
      <c r="F300" s="2" t="str">
        <f t="shared" si="28"/>
        <v>Q2</v>
      </c>
      <c r="G300" s="13">
        <f t="shared" si="25"/>
        <v>45353</v>
      </c>
      <c r="H300" s="12" t="s">
        <v>1988</v>
      </c>
      <c r="I300" s="1" t="s">
        <v>18</v>
      </c>
      <c r="J300" s="1" t="s">
        <v>14</v>
      </c>
      <c r="K300" s="1" t="s">
        <v>15</v>
      </c>
      <c r="L300" s="1" t="s">
        <v>628</v>
      </c>
      <c r="M300" s="11" t="s">
        <v>1989</v>
      </c>
      <c r="N300" s="8">
        <v>5</v>
      </c>
      <c r="O300" s="6">
        <v>0.09</v>
      </c>
      <c r="P300" s="10">
        <v>502.5</v>
      </c>
      <c r="Q300" s="11" t="e">
        <f t="shared" si="26"/>
        <v>#VALUE!</v>
      </c>
      <c r="R300" t="str">
        <f t="shared" si="29"/>
        <v>profit</v>
      </c>
    </row>
    <row r="301" spans="1:18" ht="15.75" customHeight="1" x14ac:dyDescent="0.4">
      <c r="A301" s="1" t="s">
        <v>629</v>
      </c>
      <c r="B301" s="2">
        <v>45385</v>
      </c>
      <c r="C301" s="2">
        <v>45388</v>
      </c>
      <c r="D301" s="2" t="str">
        <f t="shared" si="27"/>
        <v>2024</v>
      </c>
      <c r="E301" s="2" t="str">
        <f t="shared" si="24"/>
        <v>April</v>
      </c>
      <c r="F301" s="2" t="str">
        <f t="shared" si="28"/>
        <v>Q2</v>
      </c>
      <c r="G301" s="13">
        <f t="shared" si="25"/>
        <v>3</v>
      </c>
      <c r="H301" s="12" t="s">
        <v>1986</v>
      </c>
      <c r="I301" s="1" t="s">
        <v>46</v>
      </c>
      <c r="J301" s="1" t="s">
        <v>14</v>
      </c>
      <c r="K301" s="1" t="s">
        <v>15</v>
      </c>
      <c r="L301" s="1" t="s">
        <v>630</v>
      </c>
      <c r="M301" s="10">
        <v>376.88</v>
      </c>
      <c r="N301" s="8">
        <v>10</v>
      </c>
      <c r="O301" s="6">
        <v>0.48</v>
      </c>
      <c r="P301" s="10">
        <v>165.4</v>
      </c>
      <c r="Q301" s="11">
        <f t="shared" si="26"/>
        <v>211.48</v>
      </c>
      <c r="R301" t="str">
        <f t="shared" si="29"/>
        <v>profit</v>
      </c>
    </row>
    <row r="302" spans="1:18" ht="15.75" customHeight="1" x14ac:dyDescent="0.4">
      <c r="A302" s="1" t="s">
        <v>631</v>
      </c>
      <c r="B302" s="2">
        <v>45126</v>
      </c>
      <c r="C302" s="2">
        <v>45129</v>
      </c>
      <c r="D302" s="2" t="str">
        <f t="shared" si="27"/>
        <v>2023</v>
      </c>
      <c r="E302" s="2" t="str">
        <f t="shared" si="24"/>
        <v>July</v>
      </c>
      <c r="F302" s="2" t="str">
        <f t="shared" si="28"/>
        <v>Q3</v>
      </c>
      <c r="G302" s="13">
        <f t="shared" si="25"/>
        <v>3</v>
      </c>
      <c r="H302" s="12" t="s">
        <v>42</v>
      </c>
      <c r="I302" s="1" t="s">
        <v>24</v>
      </c>
      <c r="J302" s="1" t="s">
        <v>25</v>
      </c>
      <c r="K302" s="1" t="s">
        <v>43</v>
      </c>
      <c r="L302" s="1" t="s">
        <v>632</v>
      </c>
      <c r="M302" s="10">
        <v>565.16999999999996</v>
      </c>
      <c r="N302" s="8">
        <v>1</v>
      </c>
      <c r="O302" s="6">
        <v>0.03</v>
      </c>
      <c r="P302" s="10">
        <v>516.73</v>
      </c>
      <c r="Q302" s="11">
        <f t="shared" si="26"/>
        <v>48.439999999999941</v>
      </c>
      <c r="R302" t="str">
        <f t="shared" si="29"/>
        <v>profit</v>
      </c>
    </row>
    <row r="303" spans="1:18" ht="15.75" customHeight="1" x14ac:dyDescent="0.4">
      <c r="A303" s="1" t="s">
        <v>633</v>
      </c>
      <c r="B303" s="2">
        <v>44953</v>
      </c>
      <c r="C303" s="2">
        <v>44961</v>
      </c>
      <c r="D303" s="2" t="str">
        <f t="shared" si="27"/>
        <v>2023</v>
      </c>
      <c r="E303" s="2" t="str">
        <f t="shared" si="24"/>
        <v>February</v>
      </c>
      <c r="F303" s="2" t="str">
        <f t="shared" si="28"/>
        <v>Q1</v>
      </c>
      <c r="G303" s="13">
        <f t="shared" si="25"/>
        <v>8</v>
      </c>
      <c r="H303" s="12" t="s">
        <v>1986</v>
      </c>
      <c r="I303" s="1" t="s">
        <v>24</v>
      </c>
      <c r="J303" s="1" t="s">
        <v>14</v>
      </c>
      <c r="K303" s="1" t="s">
        <v>30</v>
      </c>
      <c r="L303" s="1" t="s">
        <v>634</v>
      </c>
      <c r="M303" s="10">
        <v>145.19999999999999</v>
      </c>
      <c r="N303" s="8">
        <v>4</v>
      </c>
      <c r="O303" s="6">
        <v>0.44</v>
      </c>
      <c r="P303" s="10">
        <v>43.5</v>
      </c>
      <c r="Q303" s="11">
        <f t="shared" si="26"/>
        <v>101.69999999999999</v>
      </c>
      <c r="R303" t="str">
        <f t="shared" si="29"/>
        <v>profit</v>
      </c>
    </row>
    <row r="304" spans="1:18" ht="15.75" customHeight="1" x14ac:dyDescent="0.4">
      <c r="A304" s="1" t="s">
        <v>635</v>
      </c>
      <c r="B304" s="2">
        <v>45497</v>
      </c>
      <c r="C304" s="2">
        <v>45497</v>
      </c>
      <c r="D304" s="2" t="str">
        <f t="shared" si="27"/>
        <v>2024</v>
      </c>
      <c r="E304" s="2" t="str">
        <f t="shared" si="24"/>
        <v>July</v>
      </c>
      <c r="F304" s="2" t="str">
        <f t="shared" si="28"/>
        <v>Q3</v>
      </c>
      <c r="G304" s="13">
        <f t="shared" si="25"/>
        <v>0</v>
      </c>
      <c r="H304" s="12" t="s">
        <v>42</v>
      </c>
      <c r="I304" s="1" t="s">
        <v>50</v>
      </c>
      <c r="J304" s="1" t="s">
        <v>25</v>
      </c>
      <c r="K304" s="1" t="s">
        <v>43</v>
      </c>
      <c r="L304" s="1" t="s">
        <v>636</v>
      </c>
      <c r="M304" s="10">
        <v>169.39</v>
      </c>
      <c r="N304" s="8">
        <v>1</v>
      </c>
      <c r="O304" s="6">
        <v>0.43</v>
      </c>
      <c r="P304" s="10">
        <v>77.08</v>
      </c>
      <c r="Q304" s="11">
        <f t="shared" si="26"/>
        <v>92.309999999999988</v>
      </c>
      <c r="R304" t="str">
        <f t="shared" si="29"/>
        <v>profit</v>
      </c>
    </row>
    <row r="305" spans="1:18" ht="15.75" customHeight="1" x14ac:dyDescent="0.4">
      <c r="A305" s="1" t="s">
        <v>637</v>
      </c>
      <c r="B305" s="2">
        <v>45531</v>
      </c>
      <c r="C305" s="2">
        <v>45532</v>
      </c>
      <c r="D305" s="2" t="str">
        <f t="shared" si="27"/>
        <v>2024</v>
      </c>
      <c r="E305" s="2" t="str">
        <f t="shared" si="24"/>
        <v>August</v>
      </c>
      <c r="F305" s="2" t="str">
        <f t="shared" si="28"/>
        <v>Q3</v>
      </c>
      <c r="G305" s="13">
        <f t="shared" si="25"/>
        <v>1</v>
      </c>
      <c r="H305" s="12" t="s">
        <v>1986</v>
      </c>
      <c r="I305" s="1" t="s">
        <v>59</v>
      </c>
      <c r="J305" s="1" t="s">
        <v>14</v>
      </c>
      <c r="K305" s="1" t="s">
        <v>15</v>
      </c>
      <c r="L305" s="1" t="s">
        <v>638</v>
      </c>
      <c r="M305" s="10">
        <v>666.7</v>
      </c>
      <c r="N305" s="8">
        <v>5</v>
      </c>
      <c r="O305" s="6">
        <v>0.42</v>
      </c>
      <c r="P305" s="10">
        <v>347.35</v>
      </c>
      <c r="Q305" s="11">
        <f t="shared" si="26"/>
        <v>319.35000000000002</v>
      </c>
      <c r="R305" t="str">
        <f t="shared" si="29"/>
        <v>profit</v>
      </c>
    </row>
    <row r="306" spans="1:18" ht="15.75" customHeight="1" x14ac:dyDescent="0.4">
      <c r="A306" s="1" t="s">
        <v>639</v>
      </c>
      <c r="B306" s="2">
        <v>45073</v>
      </c>
      <c r="C306" s="2">
        <v>45080</v>
      </c>
      <c r="D306" s="2" t="str">
        <f t="shared" si="27"/>
        <v>2023</v>
      </c>
      <c r="E306" s="2" t="str">
        <f t="shared" si="24"/>
        <v>June</v>
      </c>
      <c r="F306" s="2" t="str">
        <f t="shared" si="28"/>
        <v>Q3</v>
      </c>
      <c r="G306" s="13">
        <f t="shared" si="25"/>
        <v>7</v>
      </c>
      <c r="H306" s="12" t="s">
        <v>1987</v>
      </c>
      <c r="I306" s="1" t="s">
        <v>24</v>
      </c>
      <c r="J306" s="1" t="s">
        <v>25</v>
      </c>
      <c r="K306" s="1" t="s">
        <v>47</v>
      </c>
      <c r="L306" s="1" t="s">
        <v>640</v>
      </c>
      <c r="M306" s="10">
        <v>423.23</v>
      </c>
      <c r="N306" s="8">
        <v>10</v>
      </c>
      <c r="O306" s="6">
        <v>0.32</v>
      </c>
      <c r="P306" s="10">
        <v>241.79</v>
      </c>
      <c r="Q306" s="11">
        <f t="shared" si="26"/>
        <v>181.44000000000003</v>
      </c>
      <c r="R306" t="str">
        <f t="shared" si="29"/>
        <v>profit</v>
      </c>
    </row>
    <row r="307" spans="1:18" ht="15.75" customHeight="1" x14ac:dyDescent="0.4">
      <c r="A307" s="1" t="s">
        <v>641</v>
      </c>
      <c r="B307" s="2">
        <v>45104</v>
      </c>
      <c r="C307" s="2">
        <v>45112</v>
      </c>
      <c r="D307" s="2" t="str">
        <f t="shared" si="27"/>
        <v>2023</v>
      </c>
      <c r="E307" s="2" t="str">
        <f t="shared" si="24"/>
        <v>July</v>
      </c>
      <c r="F307" s="2" t="str">
        <f t="shared" si="28"/>
        <v>Q3</v>
      </c>
      <c r="G307" s="13">
        <f t="shared" si="25"/>
        <v>8</v>
      </c>
      <c r="H307" s="12" t="s">
        <v>42</v>
      </c>
      <c r="I307" s="1" t="s">
        <v>46</v>
      </c>
      <c r="J307" s="1" t="s">
        <v>14</v>
      </c>
      <c r="K307" s="1" t="s">
        <v>15</v>
      </c>
      <c r="L307" s="1" t="s">
        <v>642</v>
      </c>
      <c r="M307" s="10">
        <v>444.15</v>
      </c>
      <c r="N307" s="8">
        <v>7</v>
      </c>
      <c r="O307" s="6">
        <v>0.49</v>
      </c>
      <c r="P307" s="10">
        <v>185.15</v>
      </c>
      <c r="Q307" s="11">
        <f t="shared" si="26"/>
        <v>259</v>
      </c>
      <c r="R307" t="str">
        <f t="shared" si="29"/>
        <v>profit</v>
      </c>
    </row>
    <row r="308" spans="1:18" ht="15.75" customHeight="1" x14ac:dyDescent="0.4">
      <c r="A308" s="1" t="s">
        <v>643</v>
      </c>
      <c r="B308" s="2">
        <v>45600</v>
      </c>
      <c r="C308" s="2">
        <v>45600</v>
      </c>
      <c r="D308" s="2" t="str">
        <f t="shared" si="27"/>
        <v>2024</v>
      </c>
      <c r="E308" s="2" t="str">
        <f t="shared" si="24"/>
        <v>November</v>
      </c>
      <c r="F308" s="2" t="str">
        <f t="shared" si="28"/>
        <v>Q4</v>
      </c>
      <c r="G308" s="13">
        <f t="shared" si="25"/>
        <v>0</v>
      </c>
      <c r="H308" s="12" t="s">
        <v>1987</v>
      </c>
      <c r="I308" s="1" t="s">
        <v>13</v>
      </c>
      <c r="J308" s="1" t="s">
        <v>25</v>
      </c>
      <c r="K308" s="1" t="s">
        <v>43</v>
      </c>
      <c r="L308" s="1" t="s">
        <v>644</v>
      </c>
      <c r="M308" s="10">
        <v>366.17</v>
      </c>
      <c r="N308" s="8">
        <v>8</v>
      </c>
      <c r="O308" s="6">
        <v>0.18</v>
      </c>
      <c r="P308" s="10">
        <v>256.70999999999998</v>
      </c>
      <c r="Q308" s="11">
        <f t="shared" si="26"/>
        <v>109.46000000000004</v>
      </c>
      <c r="R308" t="str">
        <f t="shared" si="29"/>
        <v>profit</v>
      </c>
    </row>
    <row r="309" spans="1:18" ht="15.75" customHeight="1" x14ac:dyDescent="0.4">
      <c r="A309" s="1" t="s">
        <v>645</v>
      </c>
      <c r="B309" s="2">
        <v>45022</v>
      </c>
      <c r="C309" s="2">
        <v>45028</v>
      </c>
      <c r="D309" s="2" t="str">
        <f t="shared" si="27"/>
        <v>2023</v>
      </c>
      <c r="E309" s="2" t="str">
        <f t="shared" si="24"/>
        <v>April</v>
      </c>
      <c r="F309" s="2" t="str">
        <f t="shared" si="28"/>
        <v>Q2</v>
      </c>
      <c r="G309" s="13">
        <f t="shared" si="25"/>
        <v>6</v>
      </c>
      <c r="H309" s="12" t="s">
        <v>23</v>
      </c>
      <c r="I309" s="1" t="s">
        <v>29</v>
      </c>
      <c r="J309" s="1" t="s">
        <v>19</v>
      </c>
      <c r="K309" s="1" t="s">
        <v>35</v>
      </c>
      <c r="L309" s="1" t="s">
        <v>646</v>
      </c>
      <c r="M309" s="10">
        <v>647.54</v>
      </c>
      <c r="N309" s="8">
        <v>10</v>
      </c>
      <c r="O309" s="6">
        <v>0.22</v>
      </c>
      <c r="P309" s="10">
        <v>491.78</v>
      </c>
      <c r="Q309" s="11">
        <f t="shared" si="26"/>
        <v>155.76</v>
      </c>
      <c r="R309" t="str">
        <f t="shared" si="29"/>
        <v>profit</v>
      </c>
    </row>
    <row r="310" spans="1:18" ht="15.75" customHeight="1" x14ac:dyDescent="0.4">
      <c r="A310" s="1" t="s">
        <v>647</v>
      </c>
      <c r="B310" s="2">
        <v>45565</v>
      </c>
      <c r="C310" s="2">
        <v>45567</v>
      </c>
      <c r="D310" s="2" t="str">
        <f t="shared" si="27"/>
        <v>2024</v>
      </c>
      <c r="E310" s="2" t="str">
        <f t="shared" si="24"/>
        <v>October</v>
      </c>
      <c r="F310" s="2" t="str">
        <f t="shared" si="28"/>
        <v>Q4</v>
      </c>
      <c r="G310" s="13">
        <f t="shared" si="25"/>
        <v>2</v>
      </c>
      <c r="H310" s="12" t="s">
        <v>1987</v>
      </c>
      <c r="I310" s="1" t="s">
        <v>46</v>
      </c>
      <c r="J310" s="1" t="s">
        <v>19</v>
      </c>
      <c r="K310" s="1" t="s">
        <v>35</v>
      </c>
      <c r="L310" s="1" t="s">
        <v>648</v>
      </c>
      <c r="M310" s="10">
        <v>330.05</v>
      </c>
      <c r="N310" s="8">
        <v>3</v>
      </c>
      <c r="O310" s="6">
        <v>0.44</v>
      </c>
      <c r="P310" s="10">
        <v>152.62</v>
      </c>
      <c r="Q310" s="11">
        <f t="shared" si="26"/>
        <v>177.43</v>
      </c>
      <c r="R310" t="str">
        <f t="shared" si="29"/>
        <v>profit</v>
      </c>
    </row>
    <row r="311" spans="1:18" ht="15.75" customHeight="1" x14ac:dyDescent="0.4">
      <c r="A311" s="1" t="s">
        <v>649</v>
      </c>
      <c r="B311" s="2">
        <v>45523</v>
      </c>
      <c r="C311" s="2">
        <v>45526</v>
      </c>
      <c r="D311" s="2" t="str">
        <f t="shared" si="27"/>
        <v>2024</v>
      </c>
      <c r="E311" s="2" t="str">
        <f t="shared" si="24"/>
        <v>August</v>
      </c>
      <c r="F311" s="2" t="str">
        <f t="shared" si="28"/>
        <v>Q3</v>
      </c>
      <c r="G311" s="13">
        <f t="shared" si="25"/>
        <v>3</v>
      </c>
      <c r="H311" s="12" t="s">
        <v>42</v>
      </c>
      <c r="I311" s="1" t="s">
        <v>53</v>
      </c>
      <c r="J311" s="1" t="s">
        <v>19</v>
      </c>
      <c r="K311" s="1" t="s">
        <v>20</v>
      </c>
      <c r="L311" s="1" t="s">
        <v>650</v>
      </c>
      <c r="M311" s="10">
        <v>191.25</v>
      </c>
      <c r="N311" s="8">
        <v>3</v>
      </c>
      <c r="O311" s="6">
        <v>0.3</v>
      </c>
      <c r="P311" s="10">
        <v>121.14</v>
      </c>
      <c r="Q311" s="11">
        <f t="shared" si="26"/>
        <v>70.11</v>
      </c>
      <c r="R311" t="str">
        <f t="shared" si="29"/>
        <v>profit</v>
      </c>
    </row>
    <row r="312" spans="1:18" ht="15.75" customHeight="1" x14ac:dyDescent="0.4">
      <c r="A312" s="1" t="s">
        <v>651</v>
      </c>
      <c r="B312" s="2">
        <v>44905</v>
      </c>
      <c r="C312" s="2">
        <v>44908</v>
      </c>
      <c r="D312" s="2" t="str">
        <f t="shared" si="27"/>
        <v>2022</v>
      </c>
      <c r="E312" s="2" t="str">
        <f t="shared" si="24"/>
        <v>December</v>
      </c>
      <c r="F312" s="2" t="str">
        <f t="shared" si="28"/>
        <v>Q4</v>
      </c>
      <c r="G312" s="13">
        <f t="shared" si="25"/>
        <v>3</v>
      </c>
      <c r="H312" s="12" t="s">
        <v>1986</v>
      </c>
      <c r="I312" s="1" t="s">
        <v>29</v>
      </c>
      <c r="J312" s="1" t="s">
        <v>14</v>
      </c>
      <c r="K312" s="1" t="s">
        <v>54</v>
      </c>
      <c r="L312" s="1" t="s">
        <v>652</v>
      </c>
      <c r="M312" s="10">
        <v>624.22</v>
      </c>
      <c r="N312" s="8">
        <v>4</v>
      </c>
      <c r="O312" s="6">
        <v>0.05</v>
      </c>
      <c r="P312" s="10">
        <v>567.83000000000004</v>
      </c>
      <c r="Q312" s="11">
        <f t="shared" si="26"/>
        <v>56.389999999999986</v>
      </c>
      <c r="R312" t="str">
        <f t="shared" si="29"/>
        <v>profit</v>
      </c>
    </row>
    <row r="313" spans="1:18" ht="15.75" customHeight="1" x14ac:dyDescent="0.4">
      <c r="A313" s="1" t="s">
        <v>653</v>
      </c>
      <c r="C313" s="2">
        <v>45000</v>
      </c>
      <c r="D313" s="2" t="str">
        <f t="shared" si="27"/>
        <v/>
      </c>
      <c r="E313" s="2" t="str">
        <f t="shared" si="24"/>
        <v>March</v>
      </c>
      <c r="F313" s="2" t="str">
        <f t="shared" si="28"/>
        <v>Q2</v>
      </c>
      <c r="G313" s="13">
        <f t="shared" si="25"/>
        <v>45000</v>
      </c>
      <c r="H313" s="12" t="s">
        <v>1988</v>
      </c>
      <c r="I313" s="1" t="s">
        <v>18</v>
      </c>
      <c r="J313" s="1" t="s">
        <v>25</v>
      </c>
      <c r="K313" s="1" t="s">
        <v>43</v>
      </c>
      <c r="L313" s="1" t="s">
        <v>654</v>
      </c>
      <c r="M313" s="11" t="s">
        <v>1989</v>
      </c>
      <c r="N313" s="8">
        <v>1</v>
      </c>
      <c r="O313" s="6">
        <v>0.28999999999999998</v>
      </c>
      <c r="P313" s="10">
        <v>231.64</v>
      </c>
      <c r="Q313" s="11" t="e">
        <f t="shared" si="26"/>
        <v>#VALUE!</v>
      </c>
      <c r="R313" t="str">
        <f t="shared" si="29"/>
        <v>profit</v>
      </c>
    </row>
    <row r="314" spans="1:18" ht="15.75" customHeight="1" x14ac:dyDescent="0.4">
      <c r="A314" s="1" t="s">
        <v>655</v>
      </c>
      <c r="B314" s="2">
        <v>45558</v>
      </c>
      <c r="C314" s="2">
        <v>45560</v>
      </c>
      <c r="D314" s="2" t="str">
        <f t="shared" si="27"/>
        <v>2024</v>
      </c>
      <c r="E314" s="2" t="str">
        <f t="shared" si="24"/>
        <v>September</v>
      </c>
      <c r="F314" s="2" t="str">
        <f t="shared" si="28"/>
        <v>Q4</v>
      </c>
      <c r="G314" s="13">
        <f t="shared" si="25"/>
        <v>2</v>
      </c>
      <c r="H314" s="12" t="s">
        <v>23</v>
      </c>
      <c r="I314" s="1" t="s">
        <v>24</v>
      </c>
      <c r="J314" s="1" t="s">
        <v>14</v>
      </c>
      <c r="K314" s="1" t="s">
        <v>54</v>
      </c>
      <c r="L314" s="1" t="s">
        <v>656</v>
      </c>
      <c r="M314" s="10">
        <v>424.56</v>
      </c>
      <c r="N314" s="8">
        <v>2</v>
      </c>
      <c r="O314" s="6">
        <v>0.14000000000000001</v>
      </c>
      <c r="P314" s="10">
        <v>327.02</v>
      </c>
      <c r="Q314" s="11">
        <f t="shared" si="26"/>
        <v>97.54000000000002</v>
      </c>
      <c r="R314" t="str">
        <f t="shared" si="29"/>
        <v>profit</v>
      </c>
    </row>
    <row r="315" spans="1:18" ht="15.75" customHeight="1" x14ac:dyDescent="0.4">
      <c r="A315" s="1" t="s">
        <v>657</v>
      </c>
      <c r="B315" s="2">
        <v>45038</v>
      </c>
      <c r="C315" s="2">
        <v>45044</v>
      </c>
      <c r="D315" s="2" t="str">
        <f t="shared" si="27"/>
        <v>2023</v>
      </c>
      <c r="E315" s="2" t="str">
        <f t="shared" si="24"/>
        <v>April</v>
      </c>
      <c r="F315" s="2" t="str">
        <f t="shared" si="28"/>
        <v>Q2</v>
      </c>
      <c r="G315" s="13">
        <f t="shared" si="25"/>
        <v>6</v>
      </c>
      <c r="H315" s="12" t="s">
        <v>23</v>
      </c>
      <c r="I315" s="1" t="s">
        <v>18</v>
      </c>
      <c r="J315" s="1" t="s">
        <v>25</v>
      </c>
      <c r="K315" s="1" t="s">
        <v>26</v>
      </c>
      <c r="L315" s="1" t="s">
        <v>658</v>
      </c>
      <c r="M315" s="10">
        <v>989.32</v>
      </c>
      <c r="N315" s="8">
        <v>4</v>
      </c>
      <c r="O315" s="6">
        <v>0.3</v>
      </c>
      <c r="P315" s="10">
        <v>660.25</v>
      </c>
      <c r="Q315" s="11">
        <f t="shared" si="26"/>
        <v>329.07000000000005</v>
      </c>
      <c r="R315" t="str">
        <f t="shared" si="29"/>
        <v>profit</v>
      </c>
    </row>
    <row r="316" spans="1:18" ht="15.75" customHeight="1" x14ac:dyDescent="0.4">
      <c r="A316" s="1" t="s">
        <v>659</v>
      </c>
      <c r="B316" s="2">
        <v>44937</v>
      </c>
      <c r="C316" s="2">
        <v>44938</v>
      </c>
      <c r="D316" s="2" t="str">
        <f t="shared" si="27"/>
        <v>2023</v>
      </c>
      <c r="E316" s="2" t="str">
        <f t="shared" si="24"/>
        <v>January</v>
      </c>
      <c r="F316" s="2" t="str">
        <f t="shared" si="28"/>
        <v>Q1</v>
      </c>
      <c r="G316" s="13">
        <f t="shared" si="25"/>
        <v>1</v>
      </c>
      <c r="H316" s="12" t="s">
        <v>1986</v>
      </c>
      <c r="I316" s="1" t="s">
        <v>24</v>
      </c>
      <c r="J316" s="1" t="s">
        <v>14</v>
      </c>
      <c r="K316" s="1" t="s">
        <v>30</v>
      </c>
      <c r="L316" s="1" t="s">
        <v>660</v>
      </c>
      <c r="M316" s="10">
        <v>602.42999999999995</v>
      </c>
      <c r="N316" s="8">
        <v>7</v>
      </c>
      <c r="O316" s="6">
        <v>0.21</v>
      </c>
      <c r="P316" s="10">
        <v>460.38</v>
      </c>
      <c r="Q316" s="11">
        <f t="shared" si="26"/>
        <v>142.04999999999995</v>
      </c>
      <c r="R316" t="str">
        <f t="shared" si="29"/>
        <v>profit</v>
      </c>
    </row>
    <row r="317" spans="1:18" ht="15.75" customHeight="1" x14ac:dyDescent="0.4">
      <c r="A317" s="1" t="s">
        <v>661</v>
      </c>
      <c r="B317" s="2">
        <v>45005</v>
      </c>
      <c r="C317" s="2">
        <v>45007</v>
      </c>
      <c r="D317" s="2" t="str">
        <f t="shared" si="27"/>
        <v>2023</v>
      </c>
      <c r="E317" s="2" t="str">
        <f t="shared" si="24"/>
        <v>March</v>
      </c>
      <c r="F317" s="2" t="str">
        <f t="shared" si="28"/>
        <v>Q2</v>
      </c>
      <c r="G317" s="13">
        <f t="shared" si="25"/>
        <v>2</v>
      </c>
      <c r="H317" s="12" t="s">
        <v>1987</v>
      </c>
      <c r="I317" s="1" t="s">
        <v>24</v>
      </c>
      <c r="J317" s="1" t="s">
        <v>14</v>
      </c>
      <c r="K317" s="1" t="s">
        <v>54</v>
      </c>
      <c r="L317" s="1" t="s">
        <v>662</v>
      </c>
      <c r="M317" s="10">
        <v>901.97</v>
      </c>
      <c r="N317" s="8">
        <v>10</v>
      </c>
      <c r="O317" s="6">
        <v>0.1</v>
      </c>
      <c r="P317" s="10">
        <v>773.22</v>
      </c>
      <c r="Q317" s="11">
        <f t="shared" si="26"/>
        <v>128.75</v>
      </c>
      <c r="R317" t="str">
        <f t="shared" si="29"/>
        <v>profit</v>
      </c>
    </row>
    <row r="318" spans="1:18" ht="15.75" customHeight="1" x14ac:dyDescent="0.4">
      <c r="A318" s="1" t="s">
        <v>663</v>
      </c>
      <c r="B318" s="2">
        <v>45313</v>
      </c>
      <c r="C318" s="2">
        <v>45313</v>
      </c>
      <c r="D318" s="2" t="str">
        <f t="shared" si="27"/>
        <v>2024</v>
      </c>
      <c r="E318" s="2" t="str">
        <f t="shared" si="24"/>
        <v>January</v>
      </c>
      <c r="F318" s="2" t="str">
        <f t="shared" si="28"/>
        <v>Q1</v>
      </c>
      <c r="G318" s="13">
        <f t="shared" si="25"/>
        <v>0</v>
      </c>
      <c r="H318" s="12" t="s">
        <v>42</v>
      </c>
      <c r="I318" s="1" t="s">
        <v>18</v>
      </c>
      <c r="J318" s="1" t="s">
        <v>25</v>
      </c>
      <c r="K318" s="1" t="s">
        <v>47</v>
      </c>
      <c r="L318" s="1" t="s">
        <v>664</v>
      </c>
      <c r="M318" s="10">
        <v>86.47</v>
      </c>
      <c r="N318" s="8">
        <v>9</v>
      </c>
      <c r="O318" s="6">
        <v>0.25</v>
      </c>
      <c r="P318" s="10">
        <v>52.74</v>
      </c>
      <c r="Q318" s="11">
        <f t="shared" si="26"/>
        <v>33.729999999999997</v>
      </c>
      <c r="R318" t="str">
        <f t="shared" si="29"/>
        <v>profit</v>
      </c>
    </row>
    <row r="319" spans="1:18" ht="15.75" customHeight="1" x14ac:dyDescent="0.4">
      <c r="A319" s="1" t="s">
        <v>665</v>
      </c>
      <c r="B319" s="2">
        <v>45409</v>
      </c>
      <c r="C319" s="2">
        <v>45410</v>
      </c>
      <c r="D319" s="2" t="str">
        <f t="shared" si="27"/>
        <v>2024</v>
      </c>
      <c r="E319" s="2" t="str">
        <f t="shared" si="24"/>
        <v>April</v>
      </c>
      <c r="F319" s="2" t="str">
        <f t="shared" si="28"/>
        <v>Q2</v>
      </c>
      <c r="G319" s="13">
        <f t="shared" si="25"/>
        <v>1</v>
      </c>
      <c r="H319" s="12" t="s">
        <v>42</v>
      </c>
      <c r="I319" s="1" t="s">
        <v>46</v>
      </c>
      <c r="J319" s="1" t="s">
        <v>19</v>
      </c>
      <c r="K319" s="1" t="s">
        <v>92</v>
      </c>
      <c r="L319" s="1" t="s">
        <v>666</v>
      </c>
      <c r="M319" s="10">
        <v>857.34</v>
      </c>
      <c r="N319" s="8">
        <v>2</v>
      </c>
      <c r="O319" s="6">
        <v>0.03</v>
      </c>
      <c r="P319" s="10">
        <v>789.61</v>
      </c>
      <c r="Q319" s="11">
        <f t="shared" si="26"/>
        <v>67.730000000000018</v>
      </c>
      <c r="R319" t="str">
        <f t="shared" si="29"/>
        <v>profit</v>
      </c>
    </row>
    <row r="320" spans="1:18" ht="15.75" customHeight="1" x14ac:dyDescent="0.4">
      <c r="A320" s="1" t="s">
        <v>667</v>
      </c>
      <c r="C320" s="2">
        <v>45550</v>
      </c>
      <c r="D320" s="2" t="str">
        <f t="shared" si="27"/>
        <v/>
      </c>
      <c r="E320" s="2" t="str">
        <f t="shared" si="24"/>
        <v>September</v>
      </c>
      <c r="F320" s="2" t="str">
        <f t="shared" si="28"/>
        <v>Q4</v>
      </c>
      <c r="G320" s="13">
        <f t="shared" si="25"/>
        <v>45550</v>
      </c>
      <c r="H320" s="12" t="s">
        <v>1988</v>
      </c>
      <c r="I320" s="1" t="s">
        <v>59</v>
      </c>
      <c r="J320" s="1" t="s">
        <v>14</v>
      </c>
      <c r="K320" s="1" t="s">
        <v>15</v>
      </c>
      <c r="L320" s="1" t="s">
        <v>668</v>
      </c>
      <c r="M320" s="11" t="s">
        <v>1989</v>
      </c>
      <c r="N320" s="8">
        <v>10</v>
      </c>
      <c r="O320" s="6">
        <v>0.11</v>
      </c>
      <c r="P320" s="10">
        <v>129.13999999999999</v>
      </c>
      <c r="Q320" s="11" t="e">
        <f t="shared" si="26"/>
        <v>#VALUE!</v>
      </c>
      <c r="R320" t="str">
        <f t="shared" si="29"/>
        <v>profit</v>
      </c>
    </row>
    <row r="321" spans="1:18" ht="15.75" customHeight="1" x14ac:dyDescent="0.4">
      <c r="A321" s="1" t="s">
        <v>669</v>
      </c>
      <c r="B321" s="2">
        <v>45246</v>
      </c>
      <c r="C321" s="2">
        <v>45255</v>
      </c>
      <c r="D321" s="2" t="str">
        <f t="shared" si="27"/>
        <v>2023</v>
      </c>
      <c r="E321" s="2" t="str">
        <f t="shared" si="24"/>
        <v>November</v>
      </c>
      <c r="F321" s="2" t="str">
        <f t="shared" si="28"/>
        <v>Q4</v>
      </c>
      <c r="G321" s="13">
        <f t="shared" si="25"/>
        <v>9</v>
      </c>
      <c r="H321" s="12" t="s">
        <v>23</v>
      </c>
      <c r="I321" s="1" t="s">
        <v>13</v>
      </c>
      <c r="J321" s="1" t="s">
        <v>19</v>
      </c>
      <c r="K321" s="1" t="s">
        <v>20</v>
      </c>
      <c r="L321" s="1" t="s">
        <v>670</v>
      </c>
      <c r="M321" s="10">
        <v>788.27</v>
      </c>
      <c r="N321" s="8">
        <v>2</v>
      </c>
      <c r="O321" s="6">
        <v>0.36</v>
      </c>
      <c r="P321" s="10">
        <v>493.5</v>
      </c>
      <c r="Q321" s="11">
        <f t="shared" si="26"/>
        <v>294.77</v>
      </c>
      <c r="R321" t="str">
        <f t="shared" si="29"/>
        <v>profit</v>
      </c>
    </row>
    <row r="322" spans="1:18" ht="15.75" customHeight="1" x14ac:dyDescent="0.4">
      <c r="A322" s="1" t="s">
        <v>671</v>
      </c>
      <c r="B322" s="2">
        <v>45160</v>
      </c>
      <c r="C322" s="2">
        <v>45168</v>
      </c>
      <c r="D322" s="2" t="str">
        <f t="shared" si="27"/>
        <v>2023</v>
      </c>
      <c r="E322" s="2" t="str">
        <f t="shared" ref="E322:E385" si="30">TEXT(C322, "MMMM")</f>
        <v>August</v>
      </c>
      <c r="F322" s="2" t="str">
        <f t="shared" si="28"/>
        <v>Q3</v>
      </c>
      <c r="G322" s="13">
        <f t="shared" ref="G322:G385" si="31">DATEDIF(B322,C322, "D")</f>
        <v>8</v>
      </c>
      <c r="H322" s="12" t="s">
        <v>1987</v>
      </c>
      <c r="I322" s="1" t="s">
        <v>50</v>
      </c>
      <c r="J322" s="1" t="s">
        <v>25</v>
      </c>
      <c r="K322" s="1" t="s">
        <v>26</v>
      </c>
      <c r="L322" s="1" t="s">
        <v>672</v>
      </c>
      <c r="M322" s="10">
        <v>557.57000000000005</v>
      </c>
      <c r="N322" s="8">
        <v>8</v>
      </c>
      <c r="O322" s="6">
        <v>0.01</v>
      </c>
      <c r="P322" s="10">
        <v>527.30999999999995</v>
      </c>
      <c r="Q322" s="11">
        <f t="shared" ref="Q322:Q385" si="32">M322 - P322</f>
        <v>30.260000000000105</v>
      </c>
      <c r="R322" t="str">
        <f t="shared" si="29"/>
        <v>profit</v>
      </c>
    </row>
    <row r="323" spans="1:18" ht="15.75" customHeight="1" x14ac:dyDescent="0.4">
      <c r="A323" s="1" t="s">
        <v>673</v>
      </c>
      <c r="B323" s="2">
        <v>45570</v>
      </c>
      <c r="C323" s="2">
        <v>45579</v>
      </c>
      <c r="D323" s="2" t="str">
        <f t="shared" ref="D323:D386" si="33">IF(B323="","",TEXT(B323,"YYYY"))</f>
        <v>2024</v>
      </c>
      <c r="E323" s="2" t="str">
        <f t="shared" si="30"/>
        <v>October</v>
      </c>
      <c r="F323" s="2" t="str">
        <f t="shared" ref="F323:F386" si="34">IF(MONTH(C323)&lt;3,"Q1",IF(MONTH(C323)&lt;6,"Q2",IF(MONTH(C323)&lt;9,"Q3","Q4")))</f>
        <v>Q4</v>
      </c>
      <c r="G323" s="13">
        <f t="shared" si="31"/>
        <v>9</v>
      </c>
      <c r="H323" s="12" t="s">
        <v>42</v>
      </c>
      <c r="I323" s="1" t="s">
        <v>50</v>
      </c>
      <c r="J323" s="1" t="s">
        <v>25</v>
      </c>
      <c r="K323" s="1" t="s">
        <v>47</v>
      </c>
      <c r="L323" s="1" t="s">
        <v>674</v>
      </c>
      <c r="M323" s="10">
        <v>569.14</v>
      </c>
      <c r="N323" s="8">
        <v>6</v>
      </c>
      <c r="O323" s="6">
        <v>0.28000000000000003</v>
      </c>
      <c r="P323" s="10">
        <v>364.22</v>
      </c>
      <c r="Q323" s="11">
        <f t="shared" si="32"/>
        <v>204.91999999999996</v>
      </c>
      <c r="R323" t="str">
        <f t="shared" si="29"/>
        <v>profit</v>
      </c>
    </row>
    <row r="324" spans="1:18" ht="15.75" customHeight="1" x14ac:dyDescent="0.4">
      <c r="A324" s="1" t="s">
        <v>675</v>
      </c>
      <c r="B324" s="2">
        <v>45023</v>
      </c>
      <c r="C324" s="2">
        <v>45027</v>
      </c>
      <c r="D324" s="2" t="str">
        <f t="shared" si="33"/>
        <v>2023</v>
      </c>
      <c r="E324" s="2" t="str">
        <f t="shared" si="30"/>
        <v>April</v>
      </c>
      <c r="F324" s="2" t="str">
        <f t="shared" si="34"/>
        <v>Q2</v>
      </c>
      <c r="G324" s="13">
        <f t="shared" si="31"/>
        <v>4</v>
      </c>
      <c r="H324" s="12" t="s">
        <v>1987</v>
      </c>
      <c r="I324" s="1" t="s">
        <v>59</v>
      </c>
      <c r="J324" s="1" t="s">
        <v>14</v>
      </c>
      <c r="K324" s="1" t="s">
        <v>30</v>
      </c>
      <c r="L324" s="1" t="s">
        <v>676</v>
      </c>
      <c r="M324" s="10">
        <v>608.65</v>
      </c>
      <c r="N324" s="8">
        <v>7</v>
      </c>
      <c r="O324" s="6">
        <v>0.06</v>
      </c>
      <c r="P324" s="10">
        <v>524.26</v>
      </c>
      <c r="Q324" s="11">
        <f t="shared" si="32"/>
        <v>84.389999999999986</v>
      </c>
      <c r="R324" t="str">
        <f t="shared" ref="R324:R387" si="35">IF(P324&gt;0,"profit","loss")</f>
        <v>profit</v>
      </c>
    </row>
    <row r="325" spans="1:18" ht="15.75" customHeight="1" x14ac:dyDescent="0.4">
      <c r="A325" s="1" t="s">
        <v>677</v>
      </c>
      <c r="B325" s="2">
        <v>45051</v>
      </c>
      <c r="C325" s="2">
        <v>45059</v>
      </c>
      <c r="D325" s="2" t="str">
        <f t="shared" si="33"/>
        <v>2023</v>
      </c>
      <c r="E325" s="2" t="str">
        <f t="shared" si="30"/>
        <v>May</v>
      </c>
      <c r="F325" s="2" t="str">
        <f t="shared" si="34"/>
        <v>Q2</v>
      </c>
      <c r="G325" s="13">
        <f t="shared" si="31"/>
        <v>8</v>
      </c>
      <c r="H325" s="12" t="s">
        <v>42</v>
      </c>
      <c r="I325" s="1" t="s">
        <v>50</v>
      </c>
      <c r="J325" s="1" t="s">
        <v>19</v>
      </c>
      <c r="K325" s="1" t="s">
        <v>92</v>
      </c>
      <c r="L325" s="1" t="s">
        <v>678</v>
      </c>
      <c r="M325" s="10">
        <v>500.28</v>
      </c>
      <c r="N325" s="8">
        <v>1</v>
      </c>
      <c r="O325" s="6">
        <v>0.38</v>
      </c>
      <c r="P325" s="10">
        <v>290.87</v>
      </c>
      <c r="Q325" s="11">
        <f t="shared" si="32"/>
        <v>209.40999999999997</v>
      </c>
      <c r="R325" t="str">
        <f t="shared" si="35"/>
        <v>profit</v>
      </c>
    </row>
    <row r="326" spans="1:18" ht="15.75" customHeight="1" x14ac:dyDescent="0.4">
      <c r="A326" s="1" t="s">
        <v>679</v>
      </c>
      <c r="B326" s="2">
        <v>45535</v>
      </c>
      <c r="C326" s="2">
        <v>45536</v>
      </c>
      <c r="D326" s="2" t="str">
        <f t="shared" si="33"/>
        <v>2024</v>
      </c>
      <c r="E326" s="2" t="str">
        <f t="shared" si="30"/>
        <v>September</v>
      </c>
      <c r="F326" s="2" t="str">
        <f t="shared" si="34"/>
        <v>Q4</v>
      </c>
      <c r="G326" s="13">
        <f t="shared" si="31"/>
        <v>1</v>
      </c>
      <c r="H326" s="12" t="s">
        <v>1987</v>
      </c>
      <c r="I326" s="1" t="s">
        <v>13</v>
      </c>
      <c r="J326" s="1" t="s">
        <v>19</v>
      </c>
      <c r="K326" s="1" t="s">
        <v>35</v>
      </c>
      <c r="L326" s="1" t="s">
        <v>680</v>
      </c>
      <c r="M326" s="10">
        <v>342.02</v>
      </c>
      <c r="N326" s="8">
        <v>5</v>
      </c>
      <c r="O326" s="6">
        <v>0.09</v>
      </c>
      <c r="P326" s="10">
        <v>269.58999999999997</v>
      </c>
      <c r="Q326" s="11">
        <f t="shared" si="32"/>
        <v>72.430000000000007</v>
      </c>
      <c r="R326" t="str">
        <f t="shared" si="35"/>
        <v>profit</v>
      </c>
    </row>
    <row r="327" spans="1:18" ht="15.75" customHeight="1" x14ac:dyDescent="0.4">
      <c r="A327" s="1" t="s">
        <v>681</v>
      </c>
      <c r="B327" s="2">
        <v>45439</v>
      </c>
      <c r="C327" s="2">
        <v>45445</v>
      </c>
      <c r="D327" s="2" t="str">
        <f t="shared" si="33"/>
        <v>2024</v>
      </c>
      <c r="E327" s="2" t="str">
        <f t="shared" si="30"/>
        <v>June</v>
      </c>
      <c r="F327" s="2" t="str">
        <f t="shared" si="34"/>
        <v>Q3</v>
      </c>
      <c r="G327" s="13">
        <f t="shared" si="31"/>
        <v>6</v>
      </c>
      <c r="H327" s="12" t="s">
        <v>1986</v>
      </c>
      <c r="I327" s="1" t="s">
        <v>46</v>
      </c>
      <c r="J327" s="1" t="s">
        <v>14</v>
      </c>
      <c r="K327" s="1" t="s">
        <v>15</v>
      </c>
      <c r="L327" s="1" t="s">
        <v>682</v>
      </c>
      <c r="M327" s="10">
        <v>321.12</v>
      </c>
      <c r="N327" s="8">
        <v>7</v>
      </c>
      <c r="O327" s="6">
        <v>0.22</v>
      </c>
      <c r="P327" s="10">
        <v>226.94</v>
      </c>
      <c r="Q327" s="11">
        <f t="shared" si="32"/>
        <v>94.18</v>
      </c>
      <c r="R327" t="str">
        <f t="shared" si="35"/>
        <v>profit</v>
      </c>
    </row>
    <row r="328" spans="1:18" ht="15.75" customHeight="1" x14ac:dyDescent="0.4">
      <c r="A328" s="1" t="s">
        <v>683</v>
      </c>
      <c r="B328" s="2">
        <v>45433</v>
      </c>
      <c r="C328" s="2">
        <v>45437</v>
      </c>
      <c r="D328" s="2" t="str">
        <f t="shared" si="33"/>
        <v>2024</v>
      </c>
      <c r="E328" s="2" t="str">
        <f t="shared" si="30"/>
        <v>May</v>
      </c>
      <c r="F328" s="2" t="str">
        <f t="shared" si="34"/>
        <v>Q2</v>
      </c>
      <c r="G328" s="13">
        <f t="shared" si="31"/>
        <v>4</v>
      </c>
      <c r="H328" s="12" t="s">
        <v>42</v>
      </c>
      <c r="I328" s="1" t="s">
        <v>29</v>
      </c>
      <c r="J328" s="1" t="s">
        <v>14</v>
      </c>
      <c r="K328" s="1" t="s">
        <v>54</v>
      </c>
      <c r="L328" s="1" t="s">
        <v>684</v>
      </c>
      <c r="M328" s="10">
        <v>473.94</v>
      </c>
      <c r="N328" s="8">
        <v>8</v>
      </c>
      <c r="O328" s="6">
        <v>0.05</v>
      </c>
      <c r="P328" s="10">
        <v>404.69</v>
      </c>
      <c r="Q328" s="11">
        <f t="shared" si="32"/>
        <v>69.25</v>
      </c>
      <c r="R328" t="str">
        <f t="shared" si="35"/>
        <v>profit</v>
      </c>
    </row>
    <row r="329" spans="1:18" ht="15.75" customHeight="1" x14ac:dyDescent="0.4">
      <c r="A329" s="1" t="s">
        <v>685</v>
      </c>
      <c r="C329" s="2">
        <v>45594</v>
      </c>
      <c r="D329" s="2" t="str">
        <f t="shared" si="33"/>
        <v/>
      </c>
      <c r="E329" s="2" t="str">
        <f t="shared" si="30"/>
        <v>October</v>
      </c>
      <c r="F329" s="2" t="str">
        <f t="shared" si="34"/>
        <v>Q4</v>
      </c>
      <c r="G329" s="13">
        <f t="shared" si="31"/>
        <v>45594</v>
      </c>
      <c r="H329" s="12" t="s">
        <v>1988</v>
      </c>
      <c r="I329" s="1" t="s">
        <v>29</v>
      </c>
      <c r="J329" s="1" t="s">
        <v>14</v>
      </c>
      <c r="K329" s="1" t="s">
        <v>15</v>
      </c>
      <c r="L329" s="1" t="s">
        <v>686</v>
      </c>
      <c r="M329" s="11" t="s">
        <v>1989</v>
      </c>
      <c r="N329" s="8">
        <v>7</v>
      </c>
      <c r="O329" s="6">
        <v>0.28999999999999998</v>
      </c>
      <c r="P329" s="10">
        <v>433.85</v>
      </c>
      <c r="Q329" s="11" t="e">
        <f t="shared" si="32"/>
        <v>#VALUE!</v>
      </c>
      <c r="R329" t="str">
        <f t="shared" si="35"/>
        <v>profit</v>
      </c>
    </row>
    <row r="330" spans="1:18" ht="15.75" customHeight="1" x14ac:dyDescent="0.4">
      <c r="A330" s="1" t="s">
        <v>687</v>
      </c>
      <c r="B330" s="2">
        <v>45057</v>
      </c>
      <c r="C330" s="2">
        <v>45065</v>
      </c>
      <c r="D330" s="2" t="str">
        <f t="shared" si="33"/>
        <v>2023</v>
      </c>
      <c r="E330" s="2" t="str">
        <f t="shared" si="30"/>
        <v>May</v>
      </c>
      <c r="F330" s="2" t="str">
        <f t="shared" si="34"/>
        <v>Q2</v>
      </c>
      <c r="G330" s="13">
        <f t="shared" si="31"/>
        <v>8</v>
      </c>
      <c r="H330" s="12" t="s">
        <v>1987</v>
      </c>
      <c r="I330" s="1" t="s">
        <v>53</v>
      </c>
      <c r="J330" s="1" t="s">
        <v>14</v>
      </c>
      <c r="K330" s="1" t="s">
        <v>15</v>
      </c>
      <c r="L330" s="1" t="s">
        <v>688</v>
      </c>
      <c r="M330" s="10">
        <v>698.79</v>
      </c>
      <c r="N330" s="8">
        <v>2</v>
      </c>
      <c r="O330" s="6">
        <v>0.34</v>
      </c>
      <c r="P330" s="10">
        <v>440.1</v>
      </c>
      <c r="Q330" s="11">
        <f t="shared" si="32"/>
        <v>258.68999999999994</v>
      </c>
      <c r="R330" t="str">
        <f t="shared" si="35"/>
        <v>profit</v>
      </c>
    </row>
    <row r="331" spans="1:18" ht="15.75" customHeight="1" x14ac:dyDescent="0.4">
      <c r="A331" s="1" t="s">
        <v>689</v>
      </c>
      <c r="B331" s="2">
        <v>44942</v>
      </c>
      <c r="C331" s="2">
        <v>44944</v>
      </c>
      <c r="D331" s="2" t="str">
        <f t="shared" si="33"/>
        <v>2023</v>
      </c>
      <c r="E331" s="2" t="str">
        <f t="shared" si="30"/>
        <v>January</v>
      </c>
      <c r="F331" s="2" t="str">
        <f t="shared" si="34"/>
        <v>Q1</v>
      </c>
      <c r="G331" s="13">
        <f t="shared" si="31"/>
        <v>2</v>
      </c>
      <c r="H331" s="12" t="s">
        <v>1986</v>
      </c>
      <c r="I331" s="1" t="s">
        <v>50</v>
      </c>
      <c r="J331" s="1" t="s">
        <v>14</v>
      </c>
      <c r="K331" s="1" t="s">
        <v>30</v>
      </c>
      <c r="L331" s="1" t="s">
        <v>690</v>
      </c>
      <c r="M331" s="10">
        <v>388.02</v>
      </c>
      <c r="N331" s="8">
        <v>6</v>
      </c>
      <c r="O331" s="6">
        <v>0.27</v>
      </c>
      <c r="P331" s="10">
        <v>247.55</v>
      </c>
      <c r="Q331" s="11">
        <f t="shared" si="32"/>
        <v>140.46999999999997</v>
      </c>
      <c r="R331" t="str">
        <f t="shared" si="35"/>
        <v>profit</v>
      </c>
    </row>
    <row r="332" spans="1:18" ht="15.75" customHeight="1" x14ac:dyDescent="0.4">
      <c r="A332" s="1" t="s">
        <v>691</v>
      </c>
      <c r="B332" s="2">
        <v>45039</v>
      </c>
      <c r="C332" s="2">
        <v>45042</v>
      </c>
      <c r="D332" s="2" t="str">
        <f t="shared" si="33"/>
        <v>2023</v>
      </c>
      <c r="E332" s="2" t="str">
        <f t="shared" si="30"/>
        <v>April</v>
      </c>
      <c r="F332" s="2" t="str">
        <f t="shared" si="34"/>
        <v>Q2</v>
      </c>
      <c r="G332" s="13">
        <f t="shared" si="31"/>
        <v>3</v>
      </c>
      <c r="H332" s="12" t="s">
        <v>1987</v>
      </c>
      <c r="I332" s="1" t="s">
        <v>50</v>
      </c>
      <c r="J332" s="1" t="s">
        <v>25</v>
      </c>
      <c r="K332" s="1" t="s">
        <v>43</v>
      </c>
      <c r="L332" s="1" t="s">
        <v>692</v>
      </c>
      <c r="M332" s="10">
        <v>77.78</v>
      </c>
      <c r="N332" s="8">
        <v>7</v>
      </c>
      <c r="O332" s="6">
        <v>0.27</v>
      </c>
      <c r="P332" s="10">
        <v>38.520000000000003</v>
      </c>
      <c r="Q332" s="11">
        <f t="shared" si="32"/>
        <v>39.26</v>
      </c>
      <c r="R332" t="str">
        <f t="shared" si="35"/>
        <v>profit</v>
      </c>
    </row>
    <row r="333" spans="1:18" ht="15.75" customHeight="1" x14ac:dyDescent="0.4">
      <c r="A333" s="1" t="s">
        <v>693</v>
      </c>
      <c r="B333" s="2">
        <v>44935</v>
      </c>
      <c r="C333" s="2">
        <v>44944</v>
      </c>
      <c r="D333" s="2" t="str">
        <f t="shared" si="33"/>
        <v>2023</v>
      </c>
      <c r="E333" s="2" t="str">
        <f t="shared" si="30"/>
        <v>January</v>
      </c>
      <c r="F333" s="2" t="str">
        <f t="shared" si="34"/>
        <v>Q1</v>
      </c>
      <c r="G333" s="13">
        <f t="shared" si="31"/>
        <v>9</v>
      </c>
      <c r="H333" s="12" t="s">
        <v>1986</v>
      </c>
      <c r="I333" s="1" t="s">
        <v>29</v>
      </c>
      <c r="J333" s="1" t="s">
        <v>25</v>
      </c>
      <c r="K333" s="1" t="s">
        <v>26</v>
      </c>
      <c r="L333" s="1" t="s">
        <v>694</v>
      </c>
      <c r="M333" s="10">
        <v>920.64</v>
      </c>
      <c r="N333" s="8">
        <v>9</v>
      </c>
      <c r="O333" s="6">
        <v>0.27</v>
      </c>
      <c r="P333" s="10">
        <v>645.16999999999996</v>
      </c>
      <c r="Q333" s="11">
        <f t="shared" si="32"/>
        <v>275.47000000000003</v>
      </c>
      <c r="R333" t="str">
        <f t="shared" si="35"/>
        <v>profit</v>
      </c>
    </row>
    <row r="334" spans="1:18" ht="15.75" customHeight="1" x14ac:dyDescent="0.4">
      <c r="A334" s="1" t="s">
        <v>695</v>
      </c>
      <c r="B334" s="2">
        <v>45064</v>
      </c>
      <c r="C334" s="2">
        <v>45068</v>
      </c>
      <c r="D334" s="2" t="str">
        <f t="shared" si="33"/>
        <v>2023</v>
      </c>
      <c r="E334" s="2" t="str">
        <f t="shared" si="30"/>
        <v>May</v>
      </c>
      <c r="F334" s="2" t="str">
        <f t="shared" si="34"/>
        <v>Q2</v>
      </c>
      <c r="G334" s="13">
        <f t="shared" si="31"/>
        <v>4</v>
      </c>
      <c r="H334" s="12" t="s">
        <v>1986</v>
      </c>
      <c r="I334" s="1" t="s">
        <v>50</v>
      </c>
      <c r="J334" s="1" t="s">
        <v>25</v>
      </c>
      <c r="K334" s="1" t="s">
        <v>26</v>
      </c>
      <c r="L334" s="1" t="s">
        <v>696</v>
      </c>
      <c r="M334" s="10">
        <v>325.57</v>
      </c>
      <c r="N334" s="8">
        <v>1</v>
      </c>
      <c r="O334" s="6">
        <v>0.06</v>
      </c>
      <c r="P334" s="10">
        <v>288.23</v>
      </c>
      <c r="Q334" s="11">
        <f t="shared" si="32"/>
        <v>37.339999999999975</v>
      </c>
      <c r="R334" t="str">
        <f t="shared" si="35"/>
        <v>profit</v>
      </c>
    </row>
    <row r="335" spans="1:18" ht="15.75" customHeight="1" x14ac:dyDescent="0.4">
      <c r="A335" s="1" t="s">
        <v>697</v>
      </c>
      <c r="B335" s="2">
        <v>45270</v>
      </c>
      <c r="C335" s="2">
        <v>45279</v>
      </c>
      <c r="D335" s="2" t="str">
        <f t="shared" si="33"/>
        <v>2023</v>
      </c>
      <c r="E335" s="2" t="str">
        <f t="shared" si="30"/>
        <v>December</v>
      </c>
      <c r="F335" s="2" t="str">
        <f t="shared" si="34"/>
        <v>Q4</v>
      </c>
      <c r="G335" s="13">
        <f t="shared" si="31"/>
        <v>9</v>
      </c>
      <c r="H335" s="12" t="s">
        <v>1986</v>
      </c>
      <c r="I335" s="1" t="s">
        <v>13</v>
      </c>
      <c r="J335" s="1" t="s">
        <v>19</v>
      </c>
      <c r="K335" s="1" t="s">
        <v>92</v>
      </c>
      <c r="L335" s="1" t="s">
        <v>698</v>
      </c>
      <c r="M335" s="10">
        <v>514.17999999999995</v>
      </c>
      <c r="N335" s="8">
        <v>1</v>
      </c>
      <c r="O335" s="6">
        <v>0.21</v>
      </c>
      <c r="P335" s="10">
        <v>356.31</v>
      </c>
      <c r="Q335" s="11">
        <f t="shared" si="32"/>
        <v>157.86999999999995</v>
      </c>
      <c r="R335" t="str">
        <f t="shared" si="35"/>
        <v>profit</v>
      </c>
    </row>
    <row r="336" spans="1:18" ht="15.75" customHeight="1" x14ac:dyDescent="0.4">
      <c r="A336" s="1" t="s">
        <v>699</v>
      </c>
      <c r="B336" s="2">
        <v>45085</v>
      </c>
      <c r="C336" s="2">
        <v>45094</v>
      </c>
      <c r="D336" s="2" t="str">
        <f t="shared" si="33"/>
        <v>2023</v>
      </c>
      <c r="E336" s="2" t="str">
        <f t="shared" si="30"/>
        <v>June</v>
      </c>
      <c r="F336" s="2" t="str">
        <f t="shared" si="34"/>
        <v>Q3</v>
      </c>
      <c r="G336" s="13">
        <f t="shared" si="31"/>
        <v>9</v>
      </c>
      <c r="H336" s="12" t="s">
        <v>42</v>
      </c>
      <c r="I336" s="1" t="s">
        <v>29</v>
      </c>
      <c r="J336" s="1" t="s">
        <v>19</v>
      </c>
      <c r="K336" s="1" t="s">
        <v>35</v>
      </c>
      <c r="L336" s="1" t="s">
        <v>700</v>
      </c>
      <c r="M336" s="10">
        <v>706.02</v>
      </c>
      <c r="N336" s="8">
        <v>7</v>
      </c>
      <c r="O336" s="6">
        <v>0.4</v>
      </c>
      <c r="P336" s="10">
        <v>374.11</v>
      </c>
      <c r="Q336" s="11">
        <f t="shared" si="32"/>
        <v>331.90999999999997</v>
      </c>
      <c r="R336" t="str">
        <f t="shared" si="35"/>
        <v>profit</v>
      </c>
    </row>
    <row r="337" spans="1:18" ht="15.75" customHeight="1" x14ac:dyDescent="0.4">
      <c r="A337" s="1" t="s">
        <v>701</v>
      </c>
      <c r="B337" s="2">
        <v>45410</v>
      </c>
      <c r="C337" s="2">
        <v>45414</v>
      </c>
      <c r="D337" s="2" t="str">
        <f t="shared" si="33"/>
        <v>2024</v>
      </c>
      <c r="E337" s="2" t="str">
        <f t="shared" si="30"/>
        <v>May</v>
      </c>
      <c r="F337" s="2" t="str">
        <f t="shared" si="34"/>
        <v>Q2</v>
      </c>
      <c r="G337" s="13">
        <f t="shared" si="31"/>
        <v>4</v>
      </c>
      <c r="H337" s="12" t="s">
        <v>1986</v>
      </c>
      <c r="I337" s="1" t="s">
        <v>13</v>
      </c>
      <c r="J337" s="1" t="s">
        <v>19</v>
      </c>
      <c r="K337" s="1" t="s">
        <v>20</v>
      </c>
      <c r="L337" s="1" t="s">
        <v>702</v>
      </c>
      <c r="M337" s="10">
        <v>245.24</v>
      </c>
      <c r="N337" s="8">
        <v>3</v>
      </c>
      <c r="O337" s="6">
        <v>0.46</v>
      </c>
      <c r="P337" s="10">
        <v>85.62</v>
      </c>
      <c r="Q337" s="11">
        <f t="shared" si="32"/>
        <v>159.62</v>
      </c>
      <c r="R337" t="str">
        <f t="shared" si="35"/>
        <v>profit</v>
      </c>
    </row>
    <row r="338" spans="1:18" ht="15.75" customHeight="1" x14ac:dyDescent="0.4">
      <c r="A338" s="1" t="s">
        <v>703</v>
      </c>
      <c r="B338" s="2">
        <v>45139</v>
      </c>
      <c r="C338" s="2">
        <v>45144</v>
      </c>
      <c r="D338" s="2" t="str">
        <f t="shared" si="33"/>
        <v>2023</v>
      </c>
      <c r="E338" s="2" t="str">
        <f t="shared" si="30"/>
        <v>August</v>
      </c>
      <c r="F338" s="2" t="str">
        <f t="shared" si="34"/>
        <v>Q3</v>
      </c>
      <c r="G338" s="13">
        <f t="shared" si="31"/>
        <v>5</v>
      </c>
      <c r="H338" s="12" t="s">
        <v>1986</v>
      </c>
      <c r="I338" s="1" t="s">
        <v>59</v>
      </c>
      <c r="J338" s="1" t="s">
        <v>25</v>
      </c>
      <c r="K338" s="1" t="s">
        <v>26</v>
      </c>
      <c r="L338" s="1" t="s">
        <v>704</v>
      </c>
      <c r="M338" s="10">
        <v>41.13</v>
      </c>
      <c r="N338" s="8">
        <v>1</v>
      </c>
      <c r="O338" s="6">
        <v>0.18</v>
      </c>
      <c r="P338" s="10">
        <v>-9.83</v>
      </c>
      <c r="Q338" s="11">
        <f t="shared" si="32"/>
        <v>50.96</v>
      </c>
      <c r="R338" t="str">
        <f t="shared" si="35"/>
        <v>loss</v>
      </c>
    </row>
    <row r="339" spans="1:18" ht="15.75" customHeight="1" x14ac:dyDescent="0.4">
      <c r="A339" s="1" t="s">
        <v>705</v>
      </c>
      <c r="B339" s="2">
        <v>45047</v>
      </c>
      <c r="C339" s="2">
        <v>45053</v>
      </c>
      <c r="D339" s="2" t="str">
        <f t="shared" si="33"/>
        <v>2023</v>
      </c>
      <c r="E339" s="2" t="str">
        <f t="shared" si="30"/>
        <v>May</v>
      </c>
      <c r="F339" s="2" t="str">
        <f t="shared" si="34"/>
        <v>Q2</v>
      </c>
      <c r="G339" s="13">
        <f t="shared" si="31"/>
        <v>6</v>
      </c>
      <c r="H339" s="12" t="s">
        <v>1987</v>
      </c>
      <c r="I339" s="1" t="s">
        <v>53</v>
      </c>
      <c r="J339" s="1" t="s">
        <v>14</v>
      </c>
      <c r="K339" s="1" t="s">
        <v>54</v>
      </c>
      <c r="L339" s="1" t="s">
        <v>706</v>
      </c>
      <c r="M339" s="10">
        <v>416.45</v>
      </c>
      <c r="N339" s="8">
        <v>1</v>
      </c>
      <c r="O339" s="6">
        <v>0.5</v>
      </c>
      <c r="P339" s="10">
        <v>186.87</v>
      </c>
      <c r="Q339" s="11">
        <f t="shared" si="32"/>
        <v>229.57999999999998</v>
      </c>
      <c r="R339" t="str">
        <f t="shared" si="35"/>
        <v>profit</v>
      </c>
    </row>
    <row r="340" spans="1:18" ht="15.75" customHeight="1" x14ac:dyDescent="0.4">
      <c r="A340" s="1" t="s">
        <v>707</v>
      </c>
      <c r="B340" s="2">
        <v>45140</v>
      </c>
      <c r="C340" s="2">
        <v>45144</v>
      </c>
      <c r="D340" s="2" t="str">
        <f t="shared" si="33"/>
        <v>2023</v>
      </c>
      <c r="E340" s="2" t="str">
        <f t="shared" si="30"/>
        <v>August</v>
      </c>
      <c r="F340" s="2" t="str">
        <f t="shared" si="34"/>
        <v>Q3</v>
      </c>
      <c r="G340" s="13">
        <f t="shared" si="31"/>
        <v>4</v>
      </c>
      <c r="H340" s="12" t="s">
        <v>1986</v>
      </c>
      <c r="I340" s="1" t="s">
        <v>24</v>
      </c>
      <c r="J340" s="1" t="s">
        <v>19</v>
      </c>
      <c r="K340" s="1" t="s">
        <v>92</v>
      </c>
      <c r="L340" s="1" t="s">
        <v>708</v>
      </c>
      <c r="M340" s="10">
        <v>645.86</v>
      </c>
      <c r="N340" s="9" t="s">
        <v>1989</v>
      </c>
      <c r="O340" s="6">
        <v>0.28999999999999998</v>
      </c>
      <c r="P340" s="10">
        <v>429.63</v>
      </c>
      <c r="Q340" s="11">
        <f t="shared" si="32"/>
        <v>216.23000000000002</v>
      </c>
      <c r="R340" t="str">
        <f t="shared" si="35"/>
        <v>profit</v>
      </c>
    </row>
    <row r="341" spans="1:18" ht="15.75" customHeight="1" x14ac:dyDescent="0.4">
      <c r="A341" s="1" t="s">
        <v>709</v>
      </c>
      <c r="B341" s="2">
        <v>45566</v>
      </c>
      <c r="C341" s="2">
        <v>45575</v>
      </c>
      <c r="D341" s="2" t="str">
        <f t="shared" si="33"/>
        <v>2024</v>
      </c>
      <c r="E341" s="2" t="str">
        <f t="shared" si="30"/>
        <v>October</v>
      </c>
      <c r="F341" s="2" t="str">
        <f t="shared" si="34"/>
        <v>Q4</v>
      </c>
      <c r="G341" s="13">
        <f t="shared" si="31"/>
        <v>9</v>
      </c>
      <c r="H341" s="12" t="s">
        <v>42</v>
      </c>
      <c r="I341" s="1" t="s">
        <v>53</v>
      </c>
      <c r="J341" s="1" t="s">
        <v>14</v>
      </c>
      <c r="K341" s="1" t="s">
        <v>30</v>
      </c>
      <c r="L341" s="1" t="s">
        <v>710</v>
      </c>
      <c r="M341" s="10">
        <v>597.22</v>
      </c>
      <c r="N341" s="8">
        <v>2</v>
      </c>
      <c r="O341" s="6">
        <v>0.28000000000000003</v>
      </c>
      <c r="P341" s="10">
        <v>387.61</v>
      </c>
      <c r="Q341" s="11">
        <f t="shared" si="32"/>
        <v>209.61</v>
      </c>
      <c r="R341" t="str">
        <f t="shared" si="35"/>
        <v>profit</v>
      </c>
    </row>
    <row r="342" spans="1:18" ht="15.75" customHeight="1" x14ac:dyDescent="0.4">
      <c r="A342" s="1" t="s">
        <v>711</v>
      </c>
      <c r="B342" s="2">
        <v>44961</v>
      </c>
      <c r="C342" s="2">
        <v>44969</v>
      </c>
      <c r="D342" s="2" t="str">
        <f t="shared" si="33"/>
        <v>2023</v>
      </c>
      <c r="E342" s="2" t="str">
        <f t="shared" si="30"/>
        <v>February</v>
      </c>
      <c r="F342" s="2" t="str">
        <f t="shared" si="34"/>
        <v>Q1</v>
      </c>
      <c r="G342" s="13">
        <f t="shared" si="31"/>
        <v>8</v>
      </c>
      <c r="H342" s="12" t="s">
        <v>23</v>
      </c>
      <c r="I342" s="1" t="s">
        <v>46</v>
      </c>
      <c r="J342" s="1" t="s">
        <v>14</v>
      </c>
      <c r="K342" s="1" t="s">
        <v>30</v>
      </c>
      <c r="L342" s="1" t="s">
        <v>712</v>
      </c>
      <c r="M342" s="10">
        <v>26.6</v>
      </c>
      <c r="N342" s="8">
        <v>4</v>
      </c>
      <c r="O342" s="6">
        <v>0.19</v>
      </c>
      <c r="P342" s="10">
        <v>-13.65</v>
      </c>
      <c r="Q342" s="11">
        <f t="shared" si="32"/>
        <v>40.25</v>
      </c>
      <c r="R342" t="str">
        <f t="shared" si="35"/>
        <v>loss</v>
      </c>
    </row>
    <row r="343" spans="1:18" ht="15.75" customHeight="1" x14ac:dyDescent="0.4">
      <c r="A343" s="1" t="s">
        <v>713</v>
      </c>
      <c r="B343" s="2">
        <v>45271</v>
      </c>
      <c r="C343" s="2">
        <v>45276</v>
      </c>
      <c r="D343" s="2" t="str">
        <f t="shared" si="33"/>
        <v>2023</v>
      </c>
      <c r="E343" s="2" t="str">
        <f t="shared" si="30"/>
        <v>December</v>
      </c>
      <c r="F343" s="2" t="str">
        <f t="shared" si="34"/>
        <v>Q4</v>
      </c>
      <c r="G343" s="13">
        <f t="shared" si="31"/>
        <v>5</v>
      </c>
      <c r="H343" s="12" t="s">
        <v>42</v>
      </c>
      <c r="I343" s="1" t="s">
        <v>18</v>
      </c>
      <c r="J343" s="1" t="s">
        <v>25</v>
      </c>
      <c r="K343" s="1" t="s">
        <v>43</v>
      </c>
      <c r="L343" s="1" t="s">
        <v>714</v>
      </c>
      <c r="M343" s="10">
        <v>973.3</v>
      </c>
      <c r="N343" s="8">
        <v>1</v>
      </c>
      <c r="O343" s="6">
        <v>0.02</v>
      </c>
      <c r="P343" s="10">
        <v>939.32</v>
      </c>
      <c r="Q343" s="11">
        <f t="shared" si="32"/>
        <v>33.979999999999905</v>
      </c>
      <c r="R343" t="str">
        <f t="shared" si="35"/>
        <v>profit</v>
      </c>
    </row>
    <row r="344" spans="1:18" ht="15.75" customHeight="1" x14ac:dyDescent="0.4">
      <c r="A344" s="1" t="s">
        <v>715</v>
      </c>
      <c r="B344" s="2">
        <v>45120</v>
      </c>
      <c r="C344" s="2">
        <v>45123</v>
      </c>
      <c r="D344" s="2" t="str">
        <f t="shared" si="33"/>
        <v>2023</v>
      </c>
      <c r="E344" s="2" t="str">
        <f t="shared" si="30"/>
        <v>July</v>
      </c>
      <c r="F344" s="2" t="str">
        <f t="shared" si="34"/>
        <v>Q3</v>
      </c>
      <c r="G344" s="13">
        <f t="shared" si="31"/>
        <v>3</v>
      </c>
      <c r="H344" s="12" t="s">
        <v>1986</v>
      </c>
      <c r="I344" s="1" t="s">
        <v>24</v>
      </c>
      <c r="J344" s="1" t="s">
        <v>19</v>
      </c>
      <c r="K344" s="1" t="s">
        <v>92</v>
      </c>
      <c r="L344" s="1" t="s">
        <v>716</v>
      </c>
      <c r="M344" s="10">
        <v>585.64</v>
      </c>
      <c r="N344" s="8">
        <v>2</v>
      </c>
      <c r="O344" s="6">
        <v>0.48</v>
      </c>
      <c r="P344" s="10">
        <v>293.63</v>
      </c>
      <c r="Q344" s="11">
        <f t="shared" si="32"/>
        <v>292.01</v>
      </c>
      <c r="R344" t="str">
        <f t="shared" si="35"/>
        <v>profit</v>
      </c>
    </row>
    <row r="345" spans="1:18" ht="15.75" customHeight="1" x14ac:dyDescent="0.4">
      <c r="A345" s="1" t="s">
        <v>717</v>
      </c>
      <c r="B345" s="2">
        <v>45034</v>
      </c>
      <c r="C345" s="2">
        <v>45036</v>
      </c>
      <c r="D345" s="2" t="str">
        <f t="shared" si="33"/>
        <v>2023</v>
      </c>
      <c r="E345" s="2" t="str">
        <f t="shared" si="30"/>
        <v>April</v>
      </c>
      <c r="F345" s="2" t="str">
        <f t="shared" si="34"/>
        <v>Q2</v>
      </c>
      <c r="G345" s="13">
        <f t="shared" si="31"/>
        <v>2</v>
      </c>
      <c r="H345" s="12" t="s">
        <v>42</v>
      </c>
      <c r="I345" s="1" t="s">
        <v>46</v>
      </c>
      <c r="J345" s="1" t="s">
        <v>19</v>
      </c>
      <c r="K345" s="1" t="s">
        <v>20</v>
      </c>
      <c r="L345" s="1" t="s">
        <v>718</v>
      </c>
      <c r="M345" s="10">
        <v>417.49</v>
      </c>
      <c r="N345" s="8">
        <v>2</v>
      </c>
      <c r="O345" s="6">
        <v>0.3</v>
      </c>
      <c r="P345" s="10">
        <v>277.25</v>
      </c>
      <c r="Q345" s="11">
        <f t="shared" si="32"/>
        <v>140.24</v>
      </c>
      <c r="R345" t="str">
        <f t="shared" si="35"/>
        <v>profit</v>
      </c>
    </row>
    <row r="346" spans="1:18" ht="15.75" customHeight="1" x14ac:dyDescent="0.4">
      <c r="A346" s="1" t="s">
        <v>719</v>
      </c>
      <c r="B346" s="2">
        <v>44978</v>
      </c>
      <c r="C346" s="2">
        <v>44982</v>
      </c>
      <c r="D346" s="2" t="str">
        <f t="shared" si="33"/>
        <v>2023</v>
      </c>
      <c r="E346" s="2" t="str">
        <f t="shared" si="30"/>
        <v>February</v>
      </c>
      <c r="F346" s="2" t="str">
        <f t="shared" si="34"/>
        <v>Q1</v>
      </c>
      <c r="G346" s="13">
        <f t="shared" si="31"/>
        <v>4</v>
      </c>
      <c r="H346" s="12" t="s">
        <v>42</v>
      </c>
      <c r="I346" s="1" t="s">
        <v>46</v>
      </c>
      <c r="J346" s="1" t="s">
        <v>14</v>
      </c>
      <c r="K346" s="1" t="s">
        <v>15</v>
      </c>
      <c r="L346" s="1" t="s">
        <v>720</v>
      </c>
      <c r="M346" s="10">
        <v>844.82</v>
      </c>
      <c r="N346" s="8">
        <v>3</v>
      </c>
      <c r="O346" s="6">
        <v>0.46</v>
      </c>
      <c r="P346" s="10">
        <v>420.54</v>
      </c>
      <c r="Q346" s="11">
        <f t="shared" si="32"/>
        <v>424.28000000000003</v>
      </c>
      <c r="R346" t="str">
        <f t="shared" si="35"/>
        <v>profit</v>
      </c>
    </row>
    <row r="347" spans="1:18" ht="15.75" customHeight="1" x14ac:dyDescent="0.4">
      <c r="A347" s="1" t="s">
        <v>721</v>
      </c>
      <c r="C347" s="2">
        <v>44967</v>
      </c>
      <c r="D347" s="2" t="str">
        <f t="shared" si="33"/>
        <v/>
      </c>
      <c r="E347" s="2" t="str">
        <f t="shared" si="30"/>
        <v>February</v>
      </c>
      <c r="F347" s="2" t="str">
        <f t="shared" si="34"/>
        <v>Q1</v>
      </c>
      <c r="G347" s="13">
        <f t="shared" si="31"/>
        <v>44967</v>
      </c>
      <c r="H347" s="12" t="s">
        <v>1988</v>
      </c>
      <c r="I347" s="1" t="s">
        <v>24</v>
      </c>
      <c r="J347" s="1" t="s">
        <v>19</v>
      </c>
      <c r="K347" s="1" t="s">
        <v>92</v>
      </c>
      <c r="L347" s="1" t="s">
        <v>722</v>
      </c>
      <c r="M347" s="11" t="s">
        <v>1989</v>
      </c>
      <c r="N347" s="8">
        <v>6</v>
      </c>
      <c r="O347" s="6">
        <v>0.43</v>
      </c>
      <c r="P347" s="10">
        <v>346.09</v>
      </c>
      <c r="Q347" s="11" t="e">
        <f t="shared" si="32"/>
        <v>#VALUE!</v>
      </c>
      <c r="R347" t="str">
        <f t="shared" si="35"/>
        <v>profit</v>
      </c>
    </row>
    <row r="348" spans="1:18" ht="15.75" customHeight="1" x14ac:dyDescent="0.4">
      <c r="A348" s="1" t="s">
        <v>723</v>
      </c>
      <c r="B348" s="2">
        <v>44904</v>
      </c>
      <c r="C348" s="2">
        <v>44912</v>
      </c>
      <c r="D348" s="2" t="str">
        <f t="shared" si="33"/>
        <v>2022</v>
      </c>
      <c r="E348" s="2" t="str">
        <f t="shared" si="30"/>
        <v>December</v>
      </c>
      <c r="F348" s="2" t="str">
        <f t="shared" si="34"/>
        <v>Q4</v>
      </c>
      <c r="G348" s="13">
        <f t="shared" si="31"/>
        <v>8</v>
      </c>
      <c r="H348" s="12" t="s">
        <v>23</v>
      </c>
      <c r="I348" s="1" t="s">
        <v>59</v>
      </c>
      <c r="J348" s="1" t="s">
        <v>25</v>
      </c>
      <c r="K348" s="1" t="s">
        <v>26</v>
      </c>
      <c r="L348" s="1" t="s">
        <v>724</v>
      </c>
      <c r="M348" s="10">
        <v>712.55</v>
      </c>
      <c r="N348" s="8">
        <v>2</v>
      </c>
      <c r="O348" s="6">
        <v>0.31</v>
      </c>
      <c r="P348" s="10">
        <v>457.05</v>
      </c>
      <c r="Q348" s="11">
        <f t="shared" si="32"/>
        <v>255.49999999999994</v>
      </c>
      <c r="R348" t="str">
        <f t="shared" si="35"/>
        <v>profit</v>
      </c>
    </row>
    <row r="349" spans="1:18" ht="15.75" customHeight="1" x14ac:dyDescent="0.4">
      <c r="A349" s="1" t="s">
        <v>725</v>
      </c>
      <c r="B349" s="2">
        <v>45558</v>
      </c>
      <c r="C349" s="2">
        <v>45561</v>
      </c>
      <c r="D349" s="2" t="str">
        <f t="shared" si="33"/>
        <v>2024</v>
      </c>
      <c r="E349" s="2" t="str">
        <f t="shared" si="30"/>
        <v>September</v>
      </c>
      <c r="F349" s="2" t="str">
        <f t="shared" si="34"/>
        <v>Q4</v>
      </c>
      <c r="G349" s="13">
        <f t="shared" si="31"/>
        <v>3</v>
      </c>
      <c r="H349" s="12" t="s">
        <v>1986</v>
      </c>
      <c r="I349" s="1" t="s">
        <v>46</v>
      </c>
      <c r="J349" s="1" t="s">
        <v>14</v>
      </c>
      <c r="K349" s="1" t="s">
        <v>54</v>
      </c>
      <c r="L349" s="1" t="s">
        <v>726</v>
      </c>
      <c r="M349" s="10">
        <v>287.95999999999998</v>
      </c>
      <c r="N349" s="8">
        <v>2</v>
      </c>
      <c r="O349" s="6">
        <v>0.3</v>
      </c>
      <c r="P349" s="10">
        <v>160.97999999999999</v>
      </c>
      <c r="Q349" s="11">
        <f t="shared" si="32"/>
        <v>126.97999999999999</v>
      </c>
      <c r="R349" t="str">
        <f t="shared" si="35"/>
        <v>profit</v>
      </c>
    </row>
    <row r="350" spans="1:18" ht="15.75" customHeight="1" x14ac:dyDescent="0.4">
      <c r="A350" s="1" t="s">
        <v>727</v>
      </c>
      <c r="B350" s="2">
        <v>44939</v>
      </c>
      <c r="C350" s="2">
        <v>44948</v>
      </c>
      <c r="D350" s="2" t="str">
        <f t="shared" si="33"/>
        <v>2023</v>
      </c>
      <c r="E350" s="2" t="str">
        <f t="shared" si="30"/>
        <v>January</v>
      </c>
      <c r="F350" s="2" t="str">
        <f t="shared" si="34"/>
        <v>Q1</v>
      </c>
      <c r="G350" s="13">
        <f t="shared" si="31"/>
        <v>9</v>
      </c>
      <c r="H350" s="12" t="s">
        <v>23</v>
      </c>
      <c r="I350" s="1" t="s">
        <v>18</v>
      </c>
      <c r="J350" s="1" t="s">
        <v>25</v>
      </c>
      <c r="K350" s="1" t="s">
        <v>43</v>
      </c>
      <c r="L350" s="1" t="s">
        <v>728</v>
      </c>
      <c r="M350" s="10">
        <v>104.06</v>
      </c>
      <c r="N350" s="8">
        <v>10</v>
      </c>
      <c r="O350" s="6">
        <v>0.4</v>
      </c>
      <c r="P350" s="10">
        <v>45.45</v>
      </c>
      <c r="Q350" s="11">
        <f t="shared" si="32"/>
        <v>58.61</v>
      </c>
      <c r="R350" t="str">
        <f t="shared" si="35"/>
        <v>profit</v>
      </c>
    </row>
    <row r="351" spans="1:18" ht="15.75" customHeight="1" x14ac:dyDescent="0.4">
      <c r="A351" s="1" t="s">
        <v>729</v>
      </c>
      <c r="B351" s="2">
        <v>44902</v>
      </c>
      <c r="C351" s="2">
        <v>44904</v>
      </c>
      <c r="D351" s="2" t="str">
        <f t="shared" si="33"/>
        <v>2022</v>
      </c>
      <c r="E351" s="2" t="str">
        <f t="shared" si="30"/>
        <v>December</v>
      </c>
      <c r="F351" s="2" t="str">
        <f t="shared" si="34"/>
        <v>Q4</v>
      </c>
      <c r="G351" s="13">
        <f t="shared" si="31"/>
        <v>2</v>
      </c>
      <c r="H351" s="12" t="s">
        <v>42</v>
      </c>
      <c r="I351" s="1" t="s">
        <v>59</v>
      </c>
      <c r="J351" s="1" t="s">
        <v>25</v>
      </c>
      <c r="K351" s="1" t="s">
        <v>43</v>
      </c>
      <c r="L351" s="1" t="s">
        <v>730</v>
      </c>
      <c r="M351" s="10">
        <v>584.58000000000004</v>
      </c>
      <c r="N351" s="8">
        <v>5</v>
      </c>
      <c r="O351" s="6">
        <v>0.21</v>
      </c>
      <c r="P351" s="10">
        <v>413.93</v>
      </c>
      <c r="Q351" s="11">
        <f t="shared" si="32"/>
        <v>170.65000000000003</v>
      </c>
      <c r="R351" t="str">
        <f t="shared" si="35"/>
        <v>profit</v>
      </c>
    </row>
    <row r="352" spans="1:18" ht="15.75" customHeight="1" x14ac:dyDescent="0.4">
      <c r="A352" s="1" t="s">
        <v>731</v>
      </c>
      <c r="B352" s="2">
        <v>45444</v>
      </c>
      <c r="C352" s="2">
        <v>45451</v>
      </c>
      <c r="D352" s="2" t="str">
        <f t="shared" si="33"/>
        <v>2024</v>
      </c>
      <c r="E352" s="2" t="str">
        <f t="shared" si="30"/>
        <v>June</v>
      </c>
      <c r="F352" s="2" t="str">
        <f t="shared" si="34"/>
        <v>Q3</v>
      </c>
      <c r="G352" s="13">
        <f t="shared" si="31"/>
        <v>7</v>
      </c>
      <c r="H352" s="12" t="s">
        <v>1987</v>
      </c>
      <c r="I352" s="1" t="s">
        <v>53</v>
      </c>
      <c r="J352" s="1" t="s">
        <v>14</v>
      </c>
      <c r="K352" s="1" t="s">
        <v>15</v>
      </c>
      <c r="L352" s="1" t="s">
        <v>732</v>
      </c>
      <c r="M352" s="10">
        <v>784</v>
      </c>
      <c r="N352" s="8">
        <v>5</v>
      </c>
      <c r="O352" s="6">
        <v>0.4</v>
      </c>
      <c r="P352" s="10">
        <v>444.91</v>
      </c>
      <c r="Q352" s="11">
        <f t="shared" si="32"/>
        <v>339.09</v>
      </c>
      <c r="R352" t="str">
        <f t="shared" si="35"/>
        <v>profit</v>
      </c>
    </row>
    <row r="353" spans="1:18" ht="15.75" customHeight="1" x14ac:dyDescent="0.4">
      <c r="A353" s="1" t="s">
        <v>733</v>
      </c>
      <c r="B353" s="2">
        <v>45153</v>
      </c>
      <c r="C353" s="2">
        <v>45161</v>
      </c>
      <c r="D353" s="2" t="str">
        <f t="shared" si="33"/>
        <v>2023</v>
      </c>
      <c r="E353" s="2" t="str">
        <f t="shared" si="30"/>
        <v>August</v>
      </c>
      <c r="F353" s="2" t="str">
        <f t="shared" si="34"/>
        <v>Q3</v>
      </c>
      <c r="G353" s="13">
        <f t="shared" si="31"/>
        <v>8</v>
      </c>
      <c r="H353" s="12" t="s">
        <v>1986</v>
      </c>
      <c r="I353" s="1" t="s">
        <v>13</v>
      </c>
      <c r="J353" s="1" t="s">
        <v>25</v>
      </c>
      <c r="K353" s="1" t="s">
        <v>47</v>
      </c>
      <c r="L353" s="1" t="s">
        <v>734</v>
      </c>
      <c r="M353" s="10">
        <v>826.63</v>
      </c>
      <c r="N353" s="8">
        <v>5</v>
      </c>
      <c r="O353" s="6">
        <v>0.44</v>
      </c>
      <c r="P353" s="10">
        <v>434.04</v>
      </c>
      <c r="Q353" s="11">
        <f t="shared" si="32"/>
        <v>392.59</v>
      </c>
      <c r="R353" t="str">
        <f t="shared" si="35"/>
        <v>profit</v>
      </c>
    </row>
    <row r="354" spans="1:18" ht="15.75" customHeight="1" x14ac:dyDescent="0.4">
      <c r="A354" s="1" t="s">
        <v>735</v>
      </c>
      <c r="B354" s="2">
        <v>44930</v>
      </c>
      <c r="C354" s="2">
        <v>44938</v>
      </c>
      <c r="D354" s="2" t="str">
        <f t="shared" si="33"/>
        <v>2023</v>
      </c>
      <c r="E354" s="2" t="str">
        <f t="shared" si="30"/>
        <v>January</v>
      </c>
      <c r="F354" s="2" t="str">
        <f t="shared" si="34"/>
        <v>Q1</v>
      </c>
      <c r="G354" s="13">
        <f t="shared" si="31"/>
        <v>8</v>
      </c>
      <c r="H354" s="12" t="s">
        <v>1987</v>
      </c>
      <c r="I354" s="1" t="s">
        <v>46</v>
      </c>
      <c r="J354" s="1" t="s">
        <v>25</v>
      </c>
      <c r="K354" s="1" t="s">
        <v>43</v>
      </c>
      <c r="L354" s="1" t="s">
        <v>736</v>
      </c>
      <c r="M354" s="10">
        <v>146.68</v>
      </c>
      <c r="N354" s="8">
        <v>9</v>
      </c>
      <c r="O354" s="6">
        <v>0.05</v>
      </c>
      <c r="P354" s="10">
        <v>128.88</v>
      </c>
      <c r="Q354" s="11">
        <f t="shared" si="32"/>
        <v>17.800000000000011</v>
      </c>
      <c r="R354" t="str">
        <f t="shared" si="35"/>
        <v>profit</v>
      </c>
    </row>
    <row r="355" spans="1:18" ht="15.75" customHeight="1" x14ac:dyDescent="0.4">
      <c r="A355" s="1" t="s">
        <v>737</v>
      </c>
      <c r="B355" s="2">
        <v>45491</v>
      </c>
      <c r="C355" s="2">
        <v>45491</v>
      </c>
      <c r="D355" s="2" t="str">
        <f t="shared" si="33"/>
        <v>2024</v>
      </c>
      <c r="E355" s="2" t="str">
        <f t="shared" si="30"/>
        <v>July</v>
      </c>
      <c r="F355" s="2" t="str">
        <f t="shared" si="34"/>
        <v>Q3</v>
      </c>
      <c r="G355" s="13">
        <f t="shared" si="31"/>
        <v>0</v>
      </c>
      <c r="H355" s="12" t="s">
        <v>1986</v>
      </c>
      <c r="I355" s="1" t="s">
        <v>50</v>
      </c>
      <c r="J355" s="1" t="s">
        <v>25</v>
      </c>
      <c r="K355" s="1" t="s">
        <v>47</v>
      </c>
      <c r="L355" s="1" t="s">
        <v>738</v>
      </c>
      <c r="M355" s="10">
        <v>873.57</v>
      </c>
      <c r="N355" s="8">
        <v>3</v>
      </c>
      <c r="O355" s="6">
        <v>0.38</v>
      </c>
      <c r="P355" s="10">
        <v>500.7</v>
      </c>
      <c r="Q355" s="11">
        <f t="shared" si="32"/>
        <v>372.87000000000006</v>
      </c>
      <c r="R355" t="str">
        <f t="shared" si="35"/>
        <v>profit</v>
      </c>
    </row>
    <row r="356" spans="1:18" ht="15.75" customHeight="1" x14ac:dyDescent="0.4">
      <c r="A356" s="1" t="s">
        <v>739</v>
      </c>
      <c r="B356" s="2">
        <v>45629</v>
      </c>
      <c r="C356" s="2">
        <v>45631</v>
      </c>
      <c r="D356" s="2" t="str">
        <f t="shared" si="33"/>
        <v>2024</v>
      </c>
      <c r="E356" s="2" t="str">
        <f t="shared" si="30"/>
        <v>December</v>
      </c>
      <c r="F356" s="2" t="str">
        <f t="shared" si="34"/>
        <v>Q4</v>
      </c>
      <c r="G356" s="13">
        <f t="shared" si="31"/>
        <v>2</v>
      </c>
      <c r="H356" s="12" t="s">
        <v>23</v>
      </c>
      <c r="I356" s="1" t="s">
        <v>24</v>
      </c>
      <c r="J356" s="1" t="s">
        <v>14</v>
      </c>
      <c r="K356" s="1" t="s">
        <v>30</v>
      </c>
      <c r="L356" s="1" t="s">
        <v>740</v>
      </c>
      <c r="M356" s="10">
        <v>565.39</v>
      </c>
      <c r="N356" s="8">
        <v>10</v>
      </c>
      <c r="O356" s="6">
        <v>0.04</v>
      </c>
      <c r="P356" s="10">
        <v>515.66999999999996</v>
      </c>
      <c r="Q356" s="11">
        <f t="shared" si="32"/>
        <v>49.720000000000027</v>
      </c>
      <c r="R356" t="str">
        <f t="shared" si="35"/>
        <v>profit</v>
      </c>
    </row>
    <row r="357" spans="1:18" ht="15.75" customHeight="1" x14ac:dyDescent="0.4">
      <c r="A357" s="1" t="s">
        <v>741</v>
      </c>
      <c r="B357" s="2">
        <v>45271</v>
      </c>
      <c r="C357" s="2">
        <v>45277</v>
      </c>
      <c r="D357" s="2" t="str">
        <f t="shared" si="33"/>
        <v>2023</v>
      </c>
      <c r="E357" s="2" t="str">
        <f t="shared" si="30"/>
        <v>December</v>
      </c>
      <c r="F357" s="2" t="str">
        <f t="shared" si="34"/>
        <v>Q4</v>
      </c>
      <c r="G357" s="13">
        <f t="shared" si="31"/>
        <v>6</v>
      </c>
      <c r="H357" s="12" t="s">
        <v>23</v>
      </c>
      <c r="I357" s="1" t="s">
        <v>24</v>
      </c>
      <c r="J357" s="1" t="s">
        <v>25</v>
      </c>
      <c r="K357" s="1" t="s">
        <v>26</v>
      </c>
      <c r="L357" s="1" t="s">
        <v>742</v>
      </c>
      <c r="M357" s="10">
        <v>279.77999999999997</v>
      </c>
      <c r="N357" s="8">
        <v>9</v>
      </c>
      <c r="O357" s="6">
        <v>0.18</v>
      </c>
      <c r="P357" s="10">
        <v>186.44</v>
      </c>
      <c r="Q357" s="11">
        <f t="shared" si="32"/>
        <v>93.339999999999975</v>
      </c>
      <c r="R357" t="str">
        <f t="shared" si="35"/>
        <v>profit</v>
      </c>
    </row>
    <row r="358" spans="1:18" ht="15.75" customHeight="1" x14ac:dyDescent="0.4">
      <c r="A358" s="1" t="s">
        <v>743</v>
      </c>
      <c r="B358" s="2">
        <v>45408</v>
      </c>
      <c r="C358" s="2">
        <v>45411</v>
      </c>
      <c r="D358" s="2" t="str">
        <f t="shared" si="33"/>
        <v>2024</v>
      </c>
      <c r="E358" s="2" t="str">
        <f t="shared" si="30"/>
        <v>April</v>
      </c>
      <c r="F358" s="2" t="str">
        <f t="shared" si="34"/>
        <v>Q2</v>
      </c>
      <c r="G358" s="13">
        <f t="shared" si="31"/>
        <v>3</v>
      </c>
      <c r="H358" s="12" t="s">
        <v>1986</v>
      </c>
      <c r="I358" s="1" t="s">
        <v>46</v>
      </c>
      <c r="J358" s="1" t="s">
        <v>14</v>
      </c>
      <c r="K358" s="1" t="s">
        <v>54</v>
      </c>
      <c r="L358" s="1" t="s">
        <v>744</v>
      </c>
      <c r="M358" s="10">
        <v>396.49</v>
      </c>
      <c r="N358" s="8">
        <v>5</v>
      </c>
      <c r="O358" s="6">
        <v>0.15</v>
      </c>
      <c r="P358" s="10">
        <v>316.17</v>
      </c>
      <c r="Q358" s="11">
        <f t="shared" si="32"/>
        <v>80.319999999999993</v>
      </c>
      <c r="R358" t="str">
        <f t="shared" si="35"/>
        <v>profit</v>
      </c>
    </row>
    <row r="359" spans="1:18" ht="15.75" customHeight="1" x14ac:dyDescent="0.4">
      <c r="A359" s="1" t="s">
        <v>745</v>
      </c>
      <c r="B359" s="2">
        <v>45542</v>
      </c>
      <c r="C359" s="2">
        <v>45550</v>
      </c>
      <c r="D359" s="2" t="str">
        <f t="shared" si="33"/>
        <v>2024</v>
      </c>
      <c r="E359" s="2" t="str">
        <f t="shared" si="30"/>
        <v>September</v>
      </c>
      <c r="F359" s="2" t="str">
        <f t="shared" si="34"/>
        <v>Q4</v>
      </c>
      <c r="G359" s="13">
        <f t="shared" si="31"/>
        <v>8</v>
      </c>
      <c r="H359" s="12" t="s">
        <v>23</v>
      </c>
      <c r="I359" s="1" t="s">
        <v>50</v>
      </c>
      <c r="J359" s="1" t="s">
        <v>19</v>
      </c>
      <c r="K359" s="1" t="s">
        <v>20</v>
      </c>
      <c r="L359" s="1" t="s">
        <v>746</v>
      </c>
      <c r="M359" s="10">
        <v>79.94</v>
      </c>
      <c r="N359" s="8">
        <v>6</v>
      </c>
      <c r="O359" s="6">
        <v>0.2</v>
      </c>
      <c r="P359" s="10">
        <v>16.170000000000002</v>
      </c>
      <c r="Q359" s="11">
        <f t="shared" si="32"/>
        <v>63.769999999999996</v>
      </c>
      <c r="R359" t="str">
        <f t="shared" si="35"/>
        <v>profit</v>
      </c>
    </row>
    <row r="360" spans="1:18" ht="15.75" customHeight="1" x14ac:dyDescent="0.4">
      <c r="A360" s="1" t="s">
        <v>747</v>
      </c>
      <c r="B360" s="2">
        <v>45115</v>
      </c>
      <c r="C360" s="2">
        <v>45116</v>
      </c>
      <c r="D360" s="2" t="str">
        <f t="shared" si="33"/>
        <v>2023</v>
      </c>
      <c r="E360" s="2" t="str">
        <f t="shared" si="30"/>
        <v>July</v>
      </c>
      <c r="F360" s="2" t="str">
        <f t="shared" si="34"/>
        <v>Q3</v>
      </c>
      <c r="G360" s="13">
        <f t="shared" si="31"/>
        <v>1</v>
      </c>
      <c r="H360" s="12" t="s">
        <v>42</v>
      </c>
      <c r="I360" s="1" t="s">
        <v>46</v>
      </c>
      <c r="J360" s="1" t="s">
        <v>25</v>
      </c>
      <c r="K360" s="1" t="s">
        <v>26</v>
      </c>
      <c r="L360" s="1" t="s">
        <v>748</v>
      </c>
      <c r="M360" s="10">
        <v>658.77</v>
      </c>
      <c r="N360" s="8">
        <v>8</v>
      </c>
      <c r="O360" s="6">
        <v>0.19</v>
      </c>
      <c r="P360" s="10">
        <v>502.43</v>
      </c>
      <c r="Q360" s="11">
        <f t="shared" si="32"/>
        <v>156.33999999999997</v>
      </c>
      <c r="R360" t="str">
        <f t="shared" si="35"/>
        <v>profit</v>
      </c>
    </row>
    <row r="361" spans="1:18" ht="15.75" customHeight="1" x14ac:dyDescent="0.4">
      <c r="A361" s="1" t="s">
        <v>749</v>
      </c>
      <c r="B361" s="2">
        <v>44911</v>
      </c>
      <c r="C361" s="2">
        <v>44915</v>
      </c>
      <c r="D361" s="2" t="str">
        <f t="shared" si="33"/>
        <v>2022</v>
      </c>
      <c r="E361" s="2" t="str">
        <f t="shared" si="30"/>
        <v>December</v>
      </c>
      <c r="F361" s="2" t="str">
        <f t="shared" si="34"/>
        <v>Q4</v>
      </c>
      <c r="G361" s="13">
        <f t="shared" si="31"/>
        <v>4</v>
      </c>
      <c r="H361" s="12" t="s">
        <v>42</v>
      </c>
      <c r="I361" s="1" t="s">
        <v>24</v>
      </c>
      <c r="J361" s="1" t="s">
        <v>19</v>
      </c>
      <c r="K361" s="1" t="s">
        <v>35</v>
      </c>
      <c r="L361" s="1" t="s">
        <v>750</v>
      </c>
      <c r="M361" s="10">
        <v>174.29</v>
      </c>
      <c r="N361" s="8">
        <v>6</v>
      </c>
      <c r="O361" s="6">
        <v>0.48</v>
      </c>
      <c r="P361" s="10">
        <v>72.150000000000006</v>
      </c>
      <c r="Q361" s="11">
        <f t="shared" si="32"/>
        <v>102.13999999999999</v>
      </c>
      <c r="R361" t="str">
        <f t="shared" si="35"/>
        <v>profit</v>
      </c>
    </row>
    <row r="362" spans="1:18" ht="15.75" customHeight="1" x14ac:dyDescent="0.4">
      <c r="A362" s="1" t="s">
        <v>751</v>
      </c>
      <c r="B362" s="2">
        <v>45558</v>
      </c>
      <c r="C362" s="2">
        <v>45563</v>
      </c>
      <c r="D362" s="2" t="str">
        <f t="shared" si="33"/>
        <v>2024</v>
      </c>
      <c r="E362" s="2" t="str">
        <f t="shared" si="30"/>
        <v>September</v>
      </c>
      <c r="F362" s="2" t="str">
        <f t="shared" si="34"/>
        <v>Q4</v>
      </c>
      <c r="G362" s="13">
        <f t="shared" si="31"/>
        <v>5</v>
      </c>
      <c r="H362" s="12" t="s">
        <v>1986</v>
      </c>
      <c r="I362" s="1" t="s">
        <v>53</v>
      </c>
      <c r="J362" s="1" t="s">
        <v>19</v>
      </c>
      <c r="K362" s="1" t="s">
        <v>35</v>
      </c>
      <c r="L362" s="1" t="s">
        <v>752</v>
      </c>
      <c r="M362" s="10">
        <v>555.02</v>
      </c>
      <c r="N362" s="8">
        <v>6</v>
      </c>
      <c r="O362" s="6">
        <v>0.17</v>
      </c>
      <c r="P362" s="10">
        <v>430.36</v>
      </c>
      <c r="Q362" s="11">
        <f t="shared" si="32"/>
        <v>124.65999999999997</v>
      </c>
      <c r="R362" t="str">
        <f t="shared" si="35"/>
        <v>profit</v>
      </c>
    </row>
    <row r="363" spans="1:18" ht="15.75" customHeight="1" x14ac:dyDescent="0.4">
      <c r="A363" s="1" t="s">
        <v>753</v>
      </c>
      <c r="B363" s="2">
        <v>45349</v>
      </c>
      <c r="C363" s="2">
        <v>45350</v>
      </c>
      <c r="D363" s="2" t="str">
        <f t="shared" si="33"/>
        <v>2024</v>
      </c>
      <c r="E363" s="2" t="str">
        <f t="shared" si="30"/>
        <v>February</v>
      </c>
      <c r="F363" s="2" t="str">
        <f t="shared" si="34"/>
        <v>Q1</v>
      </c>
      <c r="G363" s="13">
        <f t="shared" si="31"/>
        <v>1</v>
      </c>
      <c r="H363" s="12" t="s">
        <v>1987</v>
      </c>
      <c r="I363" s="1" t="s">
        <v>53</v>
      </c>
      <c r="J363" s="1" t="s">
        <v>25</v>
      </c>
      <c r="K363" s="1" t="s">
        <v>47</v>
      </c>
      <c r="L363" s="1" t="s">
        <v>754</v>
      </c>
      <c r="M363" s="10">
        <v>815.94</v>
      </c>
      <c r="N363" s="8">
        <v>1</v>
      </c>
      <c r="O363" s="6">
        <v>0.45</v>
      </c>
      <c r="P363" s="10">
        <v>404.82</v>
      </c>
      <c r="Q363" s="11">
        <f t="shared" si="32"/>
        <v>411.12000000000006</v>
      </c>
      <c r="R363" t="str">
        <f t="shared" si="35"/>
        <v>profit</v>
      </c>
    </row>
    <row r="364" spans="1:18" ht="15.75" customHeight="1" x14ac:dyDescent="0.4">
      <c r="A364" s="1" t="s">
        <v>755</v>
      </c>
      <c r="B364" s="2">
        <v>45496</v>
      </c>
      <c r="C364" s="2">
        <v>45503</v>
      </c>
      <c r="D364" s="2" t="str">
        <f t="shared" si="33"/>
        <v>2024</v>
      </c>
      <c r="E364" s="2" t="str">
        <f t="shared" si="30"/>
        <v>July</v>
      </c>
      <c r="F364" s="2" t="str">
        <f t="shared" si="34"/>
        <v>Q3</v>
      </c>
      <c r="G364" s="13">
        <f t="shared" si="31"/>
        <v>7</v>
      </c>
      <c r="H364" s="12" t="s">
        <v>1987</v>
      </c>
      <c r="I364" s="1" t="s">
        <v>53</v>
      </c>
      <c r="J364" s="1" t="s">
        <v>14</v>
      </c>
      <c r="K364" s="1" t="s">
        <v>54</v>
      </c>
      <c r="L364" s="1" t="s">
        <v>756</v>
      </c>
      <c r="M364" s="10">
        <v>659.29</v>
      </c>
      <c r="N364" s="8">
        <v>3</v>
      </c>
      <c r="O364" s="6">
        <v>0.04</v>
      </c>
      <c r="P364" s="10">
        <v>590.11</v>
      </c>
      <c r="Q364" s="11">
        <f t="shared" si="32"/>
        <v>69.17999999999995</v>
      </c>
      <c r="R364" t="str">
        <f t="shared" si="35"/>
        <v>profit</v>
      </c>
    </row>
    <row r="365" spans="1:18" ht="15.75" customHeight="1" x14ac:dyDescent="0.4">
      <c r="A365" s="1" t="s">
        <v>757</v>
      </c>
      <c r="B365" s="2">
        <v>45158</v>
      </c>
      <c r="C365" s="2">
        <v>45161</v>
      </c>
      <c r="D365" s="2" t="str">
        <f t="shared" si="33"/>
        <v>2023</v>
      </c>
      <c r="E365" s="2" t="str">
        <f t="shared" si="30"/>
        <v>August</v>
      </c>
      <c r="F365" s="2" t="str">
        <f t="shared" si="34"/>
        <v>Q3</v>
      </c>
      <c r="G365" s="13">
        <f t="shared" si="31"/>
        <v>3</v>
      </c>
      <c r="H365" s="12" t="s">
        <v>1987</v>
      </c>
      <c r="I365" s="1" t="s">
        <v>53</v>
      </c>
      <c r="J365" s="1" t="s">
        <v>19</v>
      </c>
      <c r="K365" s="1" t="s">
        <v>92</v>
      </c>
      <c r="L365" s="1" t="s">
        <v>758</v>
      </c>
      <c r="M365" s="10">
        <v>599.04999999999995</v>
      </c>
      <c r="N365" s="8">
        <v>5</v>
      </c>
      <c r="O365" s="6">
        <v>0.39</v>
      </c>
      <c r="P365" s="10">
        <v>350.94</v>
      </c>
      <c r="Q365" s="11">
        <f t="shared" si="32"/>
        <v>248.10999999999996</v>
      </c>
      <c r="R365" t="str">
        <f t="shared" si="35"/>
        <v>profit</v>
      </c>
    </row>
    <row r="366" spans="1:18" ht="15.75" customHeight="1" x14ac:dyDescent="0.4">
      <c r="A366" s="1" t="s">
        <v>759</v>
      </c>
      <c r="B366" s="2">
        <v>45251</v>
      </c>
      <c r="C366" s="2">
        <v>45260</v>
      </c>
      <c r="D366" s="2" t="str">
        <f t="shared" si="33"/>
        <v>2023</v>
      </c>
      <c r="E366" s="2" t="str">
        <f t="shared" si="30"/>
        <v>November</v>
      </c>
      <c r="F366" s="2" t="str">
        <f t="shared" si="34"/>
        <v>Q4</v>
      </c>
      <c r="G366" s="13">
        <f t="shared" si="31"/>
        <v>9</v>
      </c>
      <c r="H366" s="12" t="s">
        <v>42</v>
      </c>
      <c r="I366" s="1" t="s">
        <v>53</v>
      </c>
      <c r="J366" s="1" t="s">
        <v>19</v>
      </c>
      <c r="K366" s="1" t="s">
        <v>35</v>
      </c>
      <c r="L366" s="1" t="s">
        <v>760</v>
      </c>
      <c r="M366" s="10">
        <v>800.72</v>
      </c>
      <c r="N366" s="8">
        <v>1</v>
      </c>
      <c r="O366" s="6">
        <v>0.18</v>
      </c>
      <c r="P366" s="10">
        <v>617.91999999999996</v>
      </c>
      <c r="Q366" s="11">
        <f t="shared" si="32"/>
        <v>182.80000000000007</v>
      </c>
      <c r="R366" t="str">
        <f t="shared" si="35"/>
        <v>profit</v>
      </c>
    </row>
    <row r="367" spans="1:18" ht="15.75" customHeight="1" x14ac:dyDescent="0.4">
      <c r="A367" s="1" t="s">
        <v>761</v>
      </c>
      <c r="B367" s="2">
        <v>45363</v>
      </c>
      <c r="C367" s="2">
        <v>45365</v>
      </c>
      <c r="D367" s="2" t="str">
        <f t="shared" si="33"/>
        <v>2024</v>
      </c>
      <c r="E367" s="2" t="str">
        <f t="shared" si="30"/>
        <v>March</v>
      </c>
      <c r="F367" s="2" t="str">
        <f t="shared" si="34"/>
        <v>Q2</v>
      </c>
      <c r="G367" s="13">
        <f t="shared" si="31"/>
        <v>2</v>
      </c>
      <c r="H367" s="12" t="s">
        <v>42</v>
      </c>
      <c r="I367" s="1" t="s">
        <v>18</v>
      </c>
      <c r="J367" s="1" t="s">
        <v>14</v>
      </c>
      <c r="K367" s="1" t="s">
        <v>54</v>
      </c>
      <c r="L367" s="1" t="s">
        <v>762</v>
      </c>
      <c r="M367" s="10">
        <v>973.79</v>
      </c>
      <c r="N367" s="8">
        <v>4</v>
      </c>
      <c r="O367" s="6">
        <v>0.4</v>
      </c>
      <c r="P367" s="10">
        <v>534.70000000000005</v>
      </c>
      <c r="Q367" s="11">
        <f t="shared" si="32"/>
        <v>439.08999999999992</v>
      </c>
      <c r="R367" t="str">
        <f t="shared" si="35"/>
        <v>profit</v>
      </c>
    </row>
    <row r="368" spans="1:18" ht="15.75" customHeight="1" x14ac:dyDescent="0.4">
      <c r="A368" s="1" t="s">
        <v>763</v>
      </c>
      <c r="B368" s="2">
        <v>45408</v>
      </c>
      <c r="C368" s="2">
        <v>45410</v>
      </c>
      <c r="D368" s="2" t="str">
        <f t="shared" si="33"/>
        <v>2024</v>
      </c>
      <c r="E368" s="2" t="str">
        <f t="shared" si="30"/>
        <v>April</v>
      </c>
      <c r="F368" s="2" t="str">
        <f t="shared" si="34"/>
        <v>Q2</v>
      </c>
      <c r="G368" s="13">
        <f t="shared" si="31"/>
        <v>2</v>
      </c>
      <c r="H368" s="12" t="s">
        <v>1987</v>
      </c>
      <c r="I368" s="1" t="s">
        <v>29</v>
      </c>
      <c r="J368" s="1" t="s">
        <v>25</v>
      </c>
      <c r="K368" s="1" t="s">
        <v>47</v>
      </c>
      <c r="L368" s="1" t="s">
        <v>764</v>
      </c>
      <c r="M368" s="10">
        <v>61.12</v>
      </c>
      <c r="N368" s="8">
        <v>6</v>
      </c>
      <c r="O368" s="6">
        <v>0.09</v>
      </c>
      <c r="P368" s="10">
        <v>15.41</v>
      </c>
      <c r="Q368" s="11">
        <f t="shared" si="32"/>
        <v>45.709999999999994</v>
      </c>
      <c r="R368" t="str">
        <f t="shared" si="35"/>
        <v>profit</v>
      </c>
    </row>
    <row r="369" spans="1:18" ht="15.75" customHeight="1" x14ac:dyDescent="0.4">
      <c r="A369" s="1" t="s">
        <v>765</v>
      </c>
      <c r="B369" s="2">
        <v>44996</v>
      </c>
      <c r="C369" s="2">
        <v>45002</v>
      </c>
      <c r="D369" s="2" t="str">
        <f t="shared" si="33"/>
        <v>2023</v>
      </c>
      <c r="E369" s="2" t="str">
        <f t="shared" si="30"/>
        <v>March</v>
      </c>
      <c r="F369" s="2" t="str">
        <f t="shared" si="34"/>
        <v>Q2</v>
      </c>
      <c r="G369" s="13">
        <f t="shared" si="31"/>
        <v>6</v>
      </c>
      <c r="H369" s="12" t="s">
        <v>1986</v>
      </c>
      <c r="I369" s="1" t="s">
        <v>50</v>
      </c>
      <c r="J369" s="1" t="s">
        <v>25</v>
      </c>
      <c r="K369" s="1" t="s">
        <v>26</v>
      </c>
      <c r="L369" s="1" t="s">
        <v>766</v>
      </c>
      <c r="M369" s="10">
        <v>756.35</v>
      </c>
      <c r="N369" s="8">
        <v>10</v>
      </c>
      <c r="O369" s="6">
        <v>0.22</v>
      </c>
      <c r="P369" s="10">
        <v>546.72</v>
      </c>
      <c r="Q369" s="11">
        <f t="shared" si="32"/>
        <v>209.63</v>
      </c>
      <c r="R369" t="str">
        <f t="shared" si="35"/>
        <v>profit</v>
      </c>
    </row>
    <row r="370" spans="1:18" ht="15.75" customHeight="1" x14ac:dyDescent="0.4">
      <c r="A370" s="1" t="s">
        <v>767</v>
      </c>
      <c r="B370" s="2">
        <v>45388</v>
      </c>
      <c r="C370" s="2">
        <v>45395</v>
      </c>
      <c r="D370" s="2" t="str">
        <f t="shared" si="33"/>
        <v>2024</v>
      </c>
      <c r="E370" s="2" t="str">
        <f t="shared" si="30"/>
        <v>April</v>
      </c>
      <c r="F370" s="2" t="str">
        <f t="shared" si="34"/>
        <v>Q2</v>
      </c>
      <c r="G370" s="13">
        <f t="shared" si="31"/>
        <v>7</v>
      </c>
      <c r="H370" s="12" t="s">
        <v>1987</v>
      </c>
      <c r="I370" s="1" t="s">
        <v>13</v>
      </c>
      <c r="J370" s="1" t="s">
        <v>25</v>
      </c>
      <c r="K370" s="1" t="s">
        <v>43</v>
      </c>
      <c r="L370" s="1" t="s">
        <v>768</v>
      </c>
      <c r="M370" s="10">
        <v>322.54000000000002</v>
      </c>
      <c r="N370" s="8">
        <v>5</v>
      </c>
      <c r="O370" s="6">
        <v>0.08</v>
      </c>
      <c r="P370" s="10">
        <v>271.10000000000002</v>
      </c>
      <c r="Q370" s="11">
        <f t="shared" si="32"/>
        <v>51.44</v>
      </c>
      <c r="R370" t="str">
        <f t="shared" si="35"/>
        <v>profit</v>
      </c>
    </row>
    <row r="371" spans="1:18" ht="15.75" customHeight="1" x14ac:dyDescent="0.4">
      <c r="A371" s="1" t="s">
        <v>769</v>
      </c>
      <c r="C371" s="2">
        <v>45563</v>
      </c>
      <c r="D371" s="2" t="str">
        <f t="shared" si="33"/>
        <v/>
      </c>
      <c r="E371" s="2" t="str">
        <f t="shared" si="30"/>
        <v>September</v>
      </c>
      <c r="F371" s="2" t="str">
        <f t="shared" si="34"/>
        <v>Q4</v>
      </c>
      <c r="G371" s="13">
        <f t="shared" si="31"/>
        <v>45563</v>
      </c>
      <c r="H371" s="12" t="s">
        <v>1988</v>
      </c>
      <c r="I371" s="1" t="s">
        <v>24</v>
      </c>
      <c r="J371" s="1" t="s">
        <v>25</v>
      </c>
      <c r="K371" s="1" t="s">
        <v>43</v>
      </c>
      <c r="L371" s="1" t="s">
        <v>770</v>
      </c>
      <c r="M371" s="11" t="s">
        <v>1989</v>
      </c>
      <c r="N371" s="8">
        <v>8</v>
      </c>
      <c r="O371" s="6">
        <v>0.05</v>
      </c>
      <c r="P371" s="10">
        <v>450.95</v>
      </c>
      <c r="Q371" s="11" t="e">
        <f t="shared" si="32"/>
        <v>#VALUE!</v>
      </c>
      <c r="R371" t="str">
        <f t="shared" si="35"/>
        <v>profit</v>
      </c>
    </row>
    <row r="372" spans="1:18" ht="15.75" customHeight="1" x14ac:dyDescent="0.4">
      <c r="A372" s="1" t="s">
        <v>771</v>
      </c>
      <c r="C372" s="2">
        <v>45170</v>
      </c>
      <c r="D372" s="2" t="str">
        <f t="shared" si="33"/>
        <v/>
      </c>
      <c r="E372" s="2" t="str">
        <f t="shared" si="30"/>
        <v>September</v>
      </c>
      <c r="F372" s="2" t="str">
        <f t="shared" si="34"/>
        <v>Q4</v>
      </c>
      <c r="G372" s="13">
        <f t="shared" si="31"/>
        <v>45170</v>
      </c>
      <c r="H372" s="12" t="s">
        <v>1988</v>
      </c>
      <c r="I372" s="1" t="s">
        <v>24</v>
      </c>
      <c r="J372" s="1" t="s">
        <v>19</v>
      </c>
      <c r="K372" s="1" t="s">
        <v>20</v>
      </c>
      <c r="L372" s="1" t="s">
        <v>772</v>
      </c>
      <c r="M372" s="11" t="s">
        <v>1989</v>
      </c>
      <c r="N372" s="8">
        <v>10</v>
      </c>
      <c r="O372" s="6">
        <v>0.1</v>
      </c>
      <c r="P372" s="10">
        <v>279.01</v>
      </c>
      <c r="Q372" s="11" t="e">
        <f t="shared" si="32"/>
        <v>#VALUE!</v>
      </c>
      <c r="R372" t="str">
        <f t="shared" si="35"/>
        <v>profit</v>
      </c>
    </row>
    <row r="373" spans="1:18" ht="15.75" customHeight="1" x14ac:dyDescent="0.4">
      <c r="A373" s="1" t="s">
        <v>773</v>
      </c>
      <c r="B373" s="2">
        <v>45112</v>
      </c>
      <c r="C373" s="2">
        <v>45121</v>
      </c>
      <c r="D373" s="2" t="str">
        <f t="shared" si="33"/>
        <v>2023</v>
      </c>
      <c r="E373" s="2" t="str">
        <f t="shared" si="30"/>
        <v>July</v>
      </c>
      <c r="F373" s="2" t="str">
        <f t="shared" si="34"/>
        <v>Q3</v>
      </c>
      <c r="G373" s="13">
        <f t="shared" si="31"/>
        <v>9</v>
      </c>
      <c r="H373" s="12" t="s">
        <v>42</v>
      </c>
      <c r="I373" s="1" t="s">
        <v>18</v>
      </c>
      <c r="J373" s="1" t="s">
        <v>14</v>
      </c>
      <c r="K373" s="1" t="s">
        <v>15</v>
      </c>
      <c r="L373" s="1" t="s">
        <v>774</v>
      </c>
      <c r="M373" s="10">
        <v>66.95</v>
      </c>
      <c r="N373" s="8">
        <v>3</v>
      </c>
      <c r="O373" s="6">
        <v>0.36</v>
      </c>
      <c r="P373" s="10">
        <v>7.1</v>
      </c>
      <c r="Q373" s="11">
        <f t="shared" si="32"/>
        <v>59.85</v>
      </c>
      <c r="R373" t="str">
        <f t="shared" si="35"/>
        <v>profit</v>
      </c>
    </row>
    <row r="374" spans="1:18" ht="15.75" customHeight="1" x14ac:dyDescent="0.4">
      <c r="A374" s="1" t="s">
        <v>775</v>
      </c>
      <c r="B374" s="2">
        <v>45546</v>
      </c>
      <c r="C374" s="2">
        <v>45552</v>
      </c>
      <c r="D374" s="2" t="str">
        <f t="shared" si="33"/>
        <v>2024</v>
      </c>
      <c r="E374" s="2" t="str">
        <f t="shared" si="30"/>
        <v>September</v>
      </c>
      <c r="F374" s="2" t="str">
        <f t="shared" si="34"/>
        <v>Q4</v>
      </c>
      <c r="G374" s="13">
        <f t="shared" si="31"/>
        <v>6</v>
      </c>
      <c r="H374" s="12" t="s">
        <v>1986</v>
      </c>
      <c r="I374" s="1" t="s">
        <v>50</v>
      </c>
      <c r="J374" s="1" t="s">
        <v>19</v>
      </c>
      <c r="K374" s="1" t="s">
        <v>20</v>
      </c>
      <c r="L374" s="1" t="s">
        <v>776</v>
      </c>
      <c r="M374" s="10">
        <v>35.590000000000003</v>
      </c>
      <c r="N374" s="8">
        <v>6</v>
      </c>
      <c r="O374" s="6">
        <v>0.31</v>
      </c>
      <c r="P374" s="10">
        <v>-25.02</v>
      </c>
      <c r="Q374" s="11">
        <f t="shared" si="32"/>
        <v>60.61</v>
      </c>
      <c r="R374" t="str">
        <f t="shared" si="35"/>
        <v>loss</v>
      </c>
    </row>
    <row r="375" spans="1:18" ht="15.75" customHeight="1" x14ac:dyDescent="0.4">
      <c r="A375" s="1" t="s">
        <v>777</v>
      </c>
      <c r="B375" s="2">
        <v>44929</v>
      </c>
      <c r="C375" s="2">
        <v>44930</v>
      </c>
      <c r="D375" s="2" t="str">
        <f t="shared" si="33"/>
        <v>2023</v>
      </c>
      <c r="E375" s="2" t="str">
        <f t="shared" si="30"/>
        <v>January</v>
      </c>
      <c r="F375" s="2" t="str">
        <f t="shared" si="34"/>
        <v>Q1</v>
      </c>
      <c r="G375" s="13">
        <f t="shared" si="31"/>
        <v>1</v>
      </c>
      <c r="H375" s="12" t="s">
        <v>1986</v>
      </c>
      <c r="I375" s="1" t="s">
        <v>53</v>
      </c>
      <c r="J375" s="1" t="s">
        <v>19</v>
      </c>
      <c r="K375" s="1" t="s">
        <v>35</v>
      </c>
      <c r="L375" s="1" t="s">
        <v>778</v>
      </c>
      <c r="M375" s="10">
        <v>744.15</v>
      </c>
      <c r="N375" s="8">
        <v>7</v>
      </c>
      <c r="O375" s="6">
        <v>0.18</v>
      </c>
      <c r="P375" s="10">
        <v>594.59</v>
      </c>
      <c r="Q375" s="11">
        <f t="shared" si="32"/>
        <v>149.55999999999995</v>
      </c>
      <c r="R375" t="str">
        <f t="shared" si="35"/>
        <v>profit</v>
      </c>
    </row>
    <row r="376" spans="1:18" ht="15.75" customHeight="1" x14ac:dyDescent="0.4">
      <c r="A376" s="1" t="s">
        <v>779</v>
      </c>
      <c r="B376" s="2">
        <v>45575</v>
      </c>
      <c r="C376" s="2">
        <v>45576</v>
      </c>
      <c r="D376" s="2" t="str">
        <f t="shared" si="33"/>
        <v>2024</v>
      </c>
      <c r="E376" s="2" t="str">
        <f t="shared" si="30"/>
        <v>October</v>
      </c>
      <c r="F376" s="2" t="str">
        <f t="shared" si="34"/>
        <v>Q4</v>
      </c>
      <c r="G376" s="13">
        <f t="shared" si="31"/>
        <v>1</v>
      </c>
      <c r="H376" s="12" t="s">
        <v>1986</v>
      </c>
      <c r="I376" s="1" t="s">
        <v>50</v>
      </c>
      <c r="J376" s="1" t="s">
        <v>14</v>
      </c>
      <c r="K376" s="1" t="s">
        <v>15</v>
      </c>
      <c r="L376" s="1" t="s">
        <v>780</v>
      </c>
      <c r="M376" s="10">
        <v>311.39</v>
      </c>
      <c r="N376" s="8">
        <v>5</v>
      </c>
      <c r="O376" s="6">
        <v>0.18</v>
      </c>
      <c r="P376" s="10">
        <v>241.78</v>
      </c>
      <c r="Q376" s="11">
        <f t="shared" si="32"/>
        <v>69.609999999999985</v>
      </c>
      <c r="R376" t="str">
        <f t="shared" si="35"/>
        <v>profit</v>
      </c>
    </row>
    <row r="377" spans="1:18" ht="15.75" customHeight="1" x14ac:dyDescent="0.4">
      <c r="A377" s="1" t="s">
        <v>781</v>
      </c>
      <c r="B377" s="2">
        <v>45073</v>
      </c>
      <c r="C377" s="2">
        <v>45080</v>
      </c>
      <c r="D377" s="2" t="str">
        <f t="shared" si="33"/>
        <v>2023</v>
      </c>
      <c r="E377" s="2" t="str">
        <f t="shared" si="30"/>
        <v>June</v>
      </c>
      <c r="F377" s="2" t="str">
        <f t="shared" si="34"/>
        <v>Q3</v>
      </c>
      <c r="G377" s="13">
        <f t="shared" si="31"/>
        <v>7</v>
      </c>
      <c r="H377" s="12" t="s">
        <v>23</v>
      </c>
      <c r="I377" s="1" t="s">
        <v>29</v>
      </c>
      <c r="J377" s="1" t="s">
        <v>14</v>
      </c>
      <c r="K377" s="1" t="s">
        <v>30</v>
      </c>
      <c r="L377" s="1" t="s">
        <v>782</v>
      </c>
      <c r="M377" s="10">
        <v>801.45</v>
      </c>
      <c r="N377" s="8">
        <v>1</v>
      </c>
      <c r="O377" s="6">
        <v>0.48</v>
      </c>
      <c r="P377" s="10">
        <v>402.09</v>
      </c>
      <c r="Q377" s="11">
        <f t="shared" si="32"/>
        <v>399.36000000000007</v>
      </c>
      <c r="R377" t="str">
        <f t="shared" si="35"/>
        <v>profit</v>
      </c>
    </row>
    <row r="378" spans="1:18" ht="15.75" customHeight="1" x14ac:dyDescent="0.4">
      <c r="A378" s="1" t="s">
        <v>783</v>
      </c>
      <c r="B378" s="2">
        <v>45504</v>
      </c>
      <c r="C378" s="2">
        <v>45512</v>
      </c>
      <c r="D378" s="2" t="str">
        <f t="shared" si="33"/>
        <v>2024</v>
      </c>
      <c r="E378" s="2" t="str">
        <f t="shared" si="30"/>
        <v>August</v>
      </c>
      <c r="F378" s="2" t="str">
        <f t="shared" si="34"/>
        <v>Q3</v>
      </c>
      <c r="G378" s="13">
        <f t="shared" si="31"/>
        <v>8</v>
      </c>
      <c r="H378" s="12" t="s">
        <v>42</v>
      </c>
      <c r="I378" s="1" t="s">
        <v>24</v>
      </c>
      <c r="J378" s="1" t="s">
        <v>19</v>
      </c>
      <c r="K378" s="1" t="s">
        <v>20</v>
      </c>
      <c r="L378" s="1" t="s">
        <v>784</v>
      </c>
      <c r="M378" s="10">
        <v>79.2</v>
      </c>
      <c r="N378" s="8">
        <v>4</v>
      </c>
      <c r="O378" s="6">
        <v>0.16</v>
      </c>
      <c r="P378" s="10">
        <v>50.48</v>
      </c>
      <c r="Q378" s="11">
        <f t="shared" si="32"/>
        <v>28.720000000000006</v>
      </c>
      <c r="R378" t="str">
        <f t="shared" si="35"/>
        <v>profit</v>
      </c>
    </row>
    <row r="379" spans="1:18" ht="15.75" customHeight="1" x14ac:dyDescent="0.4">
      <c r="A379" s="1" t="s">
        <v>785</v>
      </c>
      <c r="B379" s="2">
        <v>44969</v>
      </c>
      <c r="C379" s="2">
        <v>44974</v>
      </c>
      <c r="D379" s="2" t="str">
        <f t="shared" si="33"/>
        <v>2023</v>
      </c>
      <c r="E379" s="2" t="str">
        <f t="shared" si="30"/>
        <v>February</v>
      </c>
      <c r="F379" s="2" t="str">
        <f t="shared" si="34"/>
        <v>Q1</v>
      </c>
      <c r="G379" s="13">
        <f t="shared" si="31"/>
        <v>5</v>
      </c>
      <c r="H379" s="12" t="s">
        <v>42</v>
      </c>
      <c r="I379" s="1" t="s">
        <v>29</v>
      </c>
      <c r="J379" s="1" t="s">
        <v>19</v>
      </c>
      <c r="K379" s="1" t="s">
        <v>92</v>
      </c>
      <c r="L379" s="1" t="s">
        <v>786</v>
      </c>
      <c r="M379" s="10">
        <v>602.27</v>
      </c>
      <c r="N379" s="8">
        <v>1</v>
      </c>
      <c r="O379" s="6">
        <v>0.06</v>
      </c>
      <c r="P379" s="10">
        <v>539.83000000000004</v>
      </c>
      <c r="Q379" s="11">
        <f t="shared" si="32"/>
        <v>62.439999999999941</v>
      </c>
      <c r="R379" t="str">
        <f t="shared" si="35"/>
        <v>profit</v>
      </c>
    </row>
    <row r="380" spans="1:18" ht="15.75" customHeight="1" x14ac:dyDescent="0.4">
      <c r="A380" s="1" t="s">
        <v>787</v>
      </c>
      <c r="B380" s="2">
        <v>45359</v>
      </c>
      <c r="C380" s="2">
        <v>45364</v>
      </c>
      <c r="D380" s="2" t="str">
        <f t="shared" si="33"/>
        <v>2024</v>
      </c>
      <c r="E380" s="2" t="str">
        <f t="shared" si="30"/>
        <v>March</v>
      </c>
      <c r="F380" s="2" t="str">
        <f t="shared" si="34"/>
        <v>Q2</v>
      </c>
      <c r="G380" s="13">
        <f t="shared" si="31"/>
        <v>5</v>
      </c>
      <c r="H380" s="12" t="s">
        <v>23</v>
      </c>
      <c r="I380" s="1" t="s">
        <v>18</v>
      </c>
      <c r="J380" s="1" t="s">
        <v>25</v>
      </c>
      <c r="K380" s="1" t="s">
        <v>47</v>
      </c>
      <c r="L380" s="1" t="s">
        <v>788</v>
      </c>
      <c r="M380" s="10">
        <v>98.01</v>
      </c>
      <c r="N380" s="8">
        <v>1</v>
      </c>
      <c r="O380" s="6">
        <v>0.14000000000000001</v>
      </c>
      <c r="P380" s="10">
        <v>61</v>
      </c>
      <c r="Q380" s="11">
        <f t="shared" si="32"/>
        <v>37.010000000000005</v>
      </c>
      <c r="R380" t="str">
        <f t="shared" si="35"/>
        <v>profit</v>
      </c>
    </row>
    <row r="381" spans="1:18" ht="15.75" customHeight="1" x14ac:dyDescent="0.4">
      <c r="A381" s="1" t="s">
        <v>789</v>
      </c>
      <c r="B381" s="2">
        <v>45249</v>
      </c>
      <c r="C381" s="2">
        <v>45254</v>
      </c>
      <c r="D381" s="2" t="str">
        <f t="shared" si="33"/>
        <v>2023</v>
      </c>
      <c r="E381" s="2" t="str">
        <f t="shared" si="30"/>
        <v>November</v>
      </c>
      <c r="F381" s="2" t="str">
        <f t="shared" si="34"/>
        <v>Q4</v>
      </c>
      <c r="G381" s="13">
        <f t="shared" si="31"/>
        <v>5</v>
      </c>
      <c r="H381" s="12" t="s">
        <v>1986</v>
      </c>
      <c r="I381" s="1" t="s">
        <v>46</v>
      </c>
      <c r="J381" s="1" t="s">
        <v>25</v>
      </c>
      <c r="K381" s="1" t="s">
        <v>43</v>
      </c>
      <c r="L381" s="1" t="s">
        <v>790</v>
      </c>
      <c r="M381" s="10">
        <v>108.23</v>
      </c>
      <c r="N381" s="9" t="s">
        <v>1989</v>
      </c>
      <c r="O381" s="6">
        <v>0.08</v>
      </c>
      <c r="P381" s="10">
        <v>53.45</v>
      </c>
      <c r="Q381" s="11">
        <f t="shared" si="32"/>
        <v>54.78</v>
      </c>
      <c r="R381" t="str">
        <f t="shared" si="35"/>
        <v>profit</v>
      </c>
    </row>
    <row r="382" spans="1:18" ht="15.75" customHeight="1" x14ac:dyDescent="0.4">
      <c r="A382" s="1" t="s">
        <v>791</v>
      </c>
      <c r="B382" s="2">
        <v>44935</v>
      </c>
      <c r="C382" s="2">
        <v>44936</v>
      </c>
      <c r="D382" s="2" t="str">
        <f t="shared" si="33"/>
        <v>2023</v>
      </c>
      <c r="E382" s="2" t="str">
        <f t="shared" si="30"/>
        <v>January</v>
      </c>
      <c r="F382" s="2" t="str">
        <f t="shared" si="34"/>
        <v>Q1</v>
      </c>
      <c r="G382" s="13">
        <f t="shared" si="31"/>
        <v>1</v>
      </c>
      <c r="H382" s="12" t="s">
        <v>1986</v>
      </c>
      <c r="I382" s="1" t="s">
        <v>13</v>
      </c>
      <c r="J382" s="1" t="s">
        <v>19</v>
      </c>
      <c r="K382" s="1" t="s">
        <v>20</v>
      </c>
      <c r="L382" s="1" t="s">
        <v>792</v>
      </c>
      <c r="M382" s="10">
        <v>388.7</v>
      </c>
      <c r="N382" s="8">
        <v>1</v>
      </c>
      <c r="O382" s="6">
        <v>0.26</v>
      </c>
      <c r="P382" s="10">
        <v>276.42</v>
      </c>
      <c r="Q382" s="11">
        <f t="shared" si="32"/>
        <v>112.27999999999997</v>
      </c>
      <c r="R382" t="str">
        <f t="shared" si="35"/>
        <v>profit</v>
      </c>
    </row>
    <row r="383" spans="1:18" ht="15.75" customHeight="1" x14ac:dyDescent="0.4">
      <c r="A383" s="1" t="s">
        <v>793</v>
      </c>
      <c r="B383" s="2">
        <v>45579</v>
      </c>
      <c r="C383" s="2">
        <v>45584</v>
      </c>
      <c r="D383" s="2" t="str">
        <f t="shared" si="33"/>
        <v>2024</v>
      </c>
      <c r="E383" s="2" t="str">
        <f t="shared" si="30"/>
        <v>October</v>
      </c>
      <c r="F383" s="2" t="str">
        <f t="shared" si="34"/>
        <v>Q4</v>
      </c>
      <c r="G383" s="13">
        <f t="shared" si="31"/>
        <v>5</v>
      </c>
      <c r="H383" s="12" t="s">
        <v>1986</v>
      </c>
      <c r="I383" s="1" t="s">
        <v>18</v>
      </c>
      <c r="J383" s="1" t="s">
        <v>19</v>
      </c>
      <c r="K383" s="1" t="s">
        <v>35</v>
      </c>
      <c r="L383" s="1" t="s">
        <v>794</v>
      </c>
      <c r="M383" s="10">
        <v>849.55</v>
      </c>
      <c r="N383" s="8">
        <v>1</v>
      </c>
      <c r="O383" s="6">
        <v>0.45</v>
      </c>
      <c r="P383" s="10">
        <v>456.18</v>
      </c>
      <c r="Q383" s="11">
        <f t="shared" si="32"/>
        <v>393.36999999999995</v>
      </c>
      <c r="R383" t="str">
        <f t="shared" si="35"/>
        <v>profit</v>
      </c>
    </row>
    <row r="384" spans="1:18" ht="15.75" customHeight="1" x14ac:dyDescent="0.4">
      <c r="A384" s="1" t="s">
        <v>795</v>
      </c>
      <c r="B384" s="2">
        <v>45457</v>
      </c>
      <c r="C384" s="2">
        <v>45457</v>
      </c>
      <c r="D384" s="2" t="str">
        <f t="shared" si="33"/>
        <v>2024</v>
      </c>
      <c r="E384" s="2" t="str">
        <f t="shared" si="30"/>
        <v>June</v>
      </c>
      <c r="F384" s="2" t="str">
        <f t="shared" si="34"/>
        <v>Q3</v>
      </c>
      <c r="G384" s="13">
        <f t="shared" si="31"/>
        <v>0</v>
      </c>
      <c r="H384" s="12" t="s">
        <v>23</v>
      </c>
      <c r="I384" s="1" t="s">
        <v>24</v>
      </c>
      <c r="J384" s="1" t="s">
        <v>25</v>
      </c>
      <c r="K384" s="1" t="s">
        <v>47</v>
      </c>
      <c r="L384" s="1" t="s">
        <v>796</v>
      </c>
      <c r="M384" s="10">
        <v>50.72</v>
      </c>
      <c r="N384" s="8">
        <v>6</v>
      </c>
      <c r="O384" s="6">
        <v>0.05</v>
      </c>
      <c r="P384" s="10">
        <v>28.24</v>
      </c>
      <c r="Q384" s="11">
        <f t="shared" si="32"/>
        <v>22.48</v>
      </c>
      <c r="R384" t="str">
        <f t="shared" si="35"/>
        <v>profit</v>
      </c>
    </row>
    <row r="385" spans="1:18" ht="15.75" customHeight="1" x14ac:dyDescent="0.4">
      <c r="A385" s="1" t="s">
        <v>797</v>
      </c>
      <c r="B385" s="2">
        <v>45434</v>
      </c>
      <c r="C385" s="2">
        <v>45441</v>
      </c>
      <c r="D385" s="2" t="str">
        <f t="shared" si="33"/>
        <v>2024</v>
      </c>
      <c r="E385" s="2" t="str">
        <f t="shared" si="30"/>
        <v>May</v>
      </c>
      <c r="F385" s="2" t="str">
        <f t="shared" si="34"/>
        <v>Q2</v>
      </c>
      <c r="G385" s="13">
        <f t="shared" si="31"/>
        <v>7</v>
      </c>
      <c r="H385" s="12" t="s">
        <v>1986</v>
      </c>
      <c r="I385" s="1" t="s">
        <v>29</v>
      </c>
      <c r="J385" s="1" t="s">
        <v>14</v>
      </c>
      <c r="K385" s="1" t="s">
        <v>30</v>
      </c>
      <c r="L385" s="1" t="s">
        <v>798</v>
      </c>
      <c r="M385" s="10">
        <v>315.14999999999998</v>
      </c>
      <c r="N385" s="8">
        <v>5</v>
      </c>
      <c r="O385" s="6">
        <v>0.28999999999999998</v>
      </c>
      <c r="P385" s="10">
        <v>174.68</v>
      </c>
      <c r="Q385" s="11">
        <f t="shared" si="32"/>
        <v>140.46999999999997</v>
      </c>
      <c r="R385" t="str">
        <f t="shared" si="35"/>
        <v>profit</v>
      </c>
    </row>
    <row r="386" spans="1:18" ht="15.75" customHeight="1" x14ac:dyDescent="0.4">
      <c r="A386" s="1" t="s">
        <v>799</v>
      </c>
      <c r="B386" s="2">
        <v>45345</v>
      </c>
      <c r="C386" s="2">
        <v>45346</v>
      </c>
      <c r="D386" s="2" t="str">
        <f t="shared" si="33"/>
        <v>2024</v>
      </c>
      <c r="E386" s="2" t="str">
        <f t="shared" ref="E386:E449" si="36">TEXT(C386, "MMMM")</f>
        <v>February</v>
      </c>
      <c r="F386" s="2" t="str">
        <f t="shared" si="34"/>
        <v>Q1</v>
      </c>
      <c r="G386" s="13">
        <f t="shared" ref="G386:G449" si="37">DATEDIF(B386,C386, "D")</f>
        <v>1</v>
      </c>
      <c r="H386" s="12" t="s">
        <v>42</v>
      </c>
      <c r="I386" s="1" t="s">
        <v>13</v>
      </c>
      <c r="J386" s="1" t="s">
        <v>14</v>
      </c>
      <c r="K386" s="1" t="s">
        <v>54</v>
      </c>
      <c r="L386" s="1" t="s">
        <v>800</v>
      </c>
      <c r="M386" s="10">
        <v>520.29999999999995</v>
      </c>
      <c r="N386" s="8">
        <v>5</v>
      </c>
      <c r="O386" s="6">
        <v>0.49</v>
      </c>
      <c r="P386" s="10">
        <v>249.93</v>
      </c>
      <c r="Q386" s="11">
        <f t="shared" ref="Q386:Q449" si="38">M386 - P386</f>
        <v>270.36999999999995</v>
      </c>
      <c r="R386" t="str">
        <f t="shared" si="35"/>
        <v>profit</v>
      </c>
    </row>
    <row r="387" spans="1:18" ht="15.75" customHeight="1" x14ac:dyDescent="0.4">
      <c r="A387" s="1" t="s">
        <v>801</v>
      </c>
      <c r="B387" s="2">
        <v>45412</v>
      </c>
      <c r="C387" s="2">
        <v>45416</v>
      </c>
      <c r="D387" s="2" t="str">
        <f t="shared" ref="D387:D450" si="39">IF(B387="","",TEXT(B387,"YYYY"))</f>
        <v>2024</v>
      </c>
      <c r="E387" s="2" t="str">
        <f t="shared" si="36"/>
        <v>May</v>
      </c>
      <c r="F387" s="2" t="str">
        <f t="shared" ref="F387:F450" si="40">IF(MONTH(C387)&lt;3,"Q1",IF(MONTH(C387)&lt;6,"Q2",IF(MONTH(C387)&lt;9,"Q3","Q4")))</f>
        <v>Q2</v>
      </c>
      <c r="G387" s="13">
        <f t="shared" si="37"/>
        <v>4</v>
      </c>
      <c r="H387" s="12" t="s">
        <v>1986</v>
      </c>
      <c r="I387" s="1" t="s">
        <v>13</v>
      </c>
      <c r="J387" s="1" t="s">
        <v>19</v>
      </c>
      <c r="K387" s="1" t="s">
        <v>20</v>
      </c>
      <c r="L387" s="1" t="s">
        <v>802</v>
      </c>
      <c r="M387" s="10">
        <v>246.42</v>
      </c>
      <c r="N387" s="8">
        <v>3</v>
      </c>
      <c r="O387" s="6">
        <v>0.35</v>
      </c>
      <c r="P387" s="10">
        <v>131.85</v>
      </c>
      <c r="Q387" s="11">
        <f t="shared" si="38"/>
        <v>114.57</v>
      </c>
      <c r="R387" t="str">
        <f t="shared" si="35"/>
        <v>profit</v>
      </c>
    </row>
    <row r="388" spans="1:18" ht="15.75" customHeight="1" x14ac:dyDescent="0.4">
      <c r="A388" s="1" t="s">
        <v>803</v>
      </c>
      <c r="B388" s="2">
        <v>45607</v>
      </c>
      <c r="C388" s="2">
        <v>45610</v>
      </c>
      <c r="D388" s="2" t="str">
        <f t="shared" si="39"/>
        <v>2024</v>
      </c>
      <c r="E388" s="2" t="str">
        <f t="shared" si="36"/>
        <v>November</v>
      </c>
      <c r="F388" s="2" t="str">
        <f t="shared" si="40"/>
        <v>Q4</v>
      </c>
      <c r="G388" s="13">
        <f t="shared" si="37"/>
        <v>3</v>
      </c>
      <c r="H388" s="12" t="s">
        <v>42</v>
      </c>
      <c r="I388" s="1" t="s">
        <v>46</v>
      </c>
      <c r="J388" s="1" t="s">
        <v>25</v>
      </c>
      <c r="K388" s="1" t="s">
        <v>47</v>
      </c>
      <c r="L388" s="1" t="s">
        <v>804</v>
      </c>
      <c r="M388" s="10">
        <v>393.3</v>
      </c>
      <c r="N388" s="8">
        <v>7</v>
      </c>
      <c r="O388" s="6">
        <v>0.49</v>
      </c>
      <c r="P388" s="10">
        <v>164.53</v>
      </c>
      <c r="Q388" s="11">
        <f t="shared" si="38"/>
        <v>228.77</v>
      </c>
      <c r="R388" t="str">
        <f t="shared" ref="R388:R451" si="41">IF(P388&gt;0,"profit","loss")</f>
        <v>profit</v>
      </c>
    </row>
    <row r="389" spans="1:18" ht="15.75" customHeight="1" x14ac:dyDescent="0.4">
      <c r="A389" s="1" t="s">
        <v>805</v>
      </c>
      <c r="B389" s="2">
        <v>45136</v>
      </c>
      <c r="C389" s="2">
        <v>45136</v>
      </c>
      <c r="D389" s="2" t="str">
        <f t="shared" si="39"/>
        <v>2023</v>
      </c>
      <c r="E389" s="2" t="str">
        <f t="shared" si="36"/>
        <v>July</v>
      </c>
      <c r="F389" s="2" t="str">
        <f t="shared" si="40"/>
        <v>Q3</v>
      </c>
      <c r="G389" s="13">
        <f t="shared" si="37"/>
        <v>0</v>
      </c>
      <c r="H389" s="12" t="s">
        <v>42</v>
      </c>
      <c r="I389" s="1" t="s">
        <v>24</v>
      </c>
      <c r="J389" s="1" t="s">
        <v>14</v>
      </c>
      <c r="K389" s="1" t="s">
        <v>54</v>
      </c>
      <c r="L389" s="1" t="s">
        <v>806</v>
      </c>
      <c r="M389" s="10">
        <v>913.57</v>
      </c>
      <c r="N389" s="8">
        <v>6</v>
      </c>
      <c r="O389" s="6">
        <v>0.27</v>
      </c>
      <c r="P389" s="10">
        <v>625.02</v>
      </c>
      <c r="Q389" s="11">
        <f t="shared" si="38"/>
        <v>288.55000000000007</v>
      </c>
      <c r="R389" t="str">
        <f t="shared" si="41"/>
        <v>profit</v>
      </c>
    </row>
    <row r="390" spans="1:18" ht="15.75" customHeight="1" x14ac:dyDescent="0.4">
      <c r="A390" s="1" t="s">
        <v>807</v>
      </c>
      <c r="B390" s="2">
        <v>45459</v>
      </c>
      <c r="C390" s="2">
        <v>45459</v>
      </c>
      <c r="D390" s="2" t="str">
        <f t="shared" si="39"/>
        <v>2024</v>
      </c>
      <c r="E390" s="2" t="str">
        <f t="shared" si="36"/>
        <v>June</v>
      </c>
      <c r="F390" s="2" t="str">
        <f t="shared" si="40"/>
        <v>Q3</v>
      </c>
      <c r="G390" s="13">
        <f t="shared" si="37"/>
        <v>0</v>
      </c>
      <c r="H390" s="12" t="s">
        <v>23</v>
      </c>
      <c r="I390" s="1" t="s">
        <v>46</v>
      </c>
      <c r="J390" s="1" t="s">
        <v>25</v>
      </c>
      <c r="K390" s="1" t="s">
        <v>43</v>
      </c>
      <c r="L390" s="1" t="s">
        <v>808</v>
      </c>
      <c r="M390" s="10">
        <v>471.06</v>
      </c>
      <c r="N390" s="8">
        <v>4</v>
      </c>
      <c r="O390" s="6">
        <v>0.04</v>
      </c>
      <c r="P390" s="10">
        <v>431.59</v>
      </c>
      <c r="Q390" s="11">
        <f t="shared" si="38"/>
        <v>39.470000000000027</v>
      </c>
      <c r="R390" t="str">
        <f t="shared" si="41"/>
        <v>profit</v>
      </c>
    </row>
    <row r="391" spans="1:18" ht="15.75" customHeight="1" x14ac:dyDescent="0.4">
      <c r="A391" s="1" t="s">
        <v>809</v>
      </c>
      <c r="B391" s="2">
        <v>45579</v>
      </c>
      <c r="C391" s="2">
        <v>45584</v>
      </c>
      <c r="D391" s="2" t="str">
        <f t="shared" si="39"/>
        <v>2024</v>
      </c>
      <c r="E391" s="2" t="str">
        <f t="shared" si="36"/>
        <v>October</v>
      </c>
      <c r="F391" s="2" t="str">
        <f t="shared" si="40"/>
        <v>Q4</v>
      </c>
      <c r="G391" s="13">
        <f t="shared" si="37"/>
        <v>5</v>
      </c>
      <c r="H391" s="12" t="s">
        <v>42</v>
      </c>
      <c r="I391" s="1" t="s">
        <v>53</v>
      </c>
      <c r="J391" s="1" t="s">
        <v>19</v>
      </c>
      <c r="K391" s="1" t="s">
        <v>92</v>
      </c>
      <c r="L391" s="1" t="s">
        <v>810</v>
      </c>
      <c r="M391" s="10">
        <v>501.69</v>
      </c>
      <c r="N391" s="8">
        <v>2</v>
      </c>
      <c r="O391" s="6">
        <v>0.39</v>
      </c>
      <c r="P391" s="10">
        <v>267.79000000000002</v>
      </c>
      <c r="Q391" s="11">
        <f t="shared" si="38"/>
        <v>233.89999999999998</v>
      </c>
      <c r="R391" t="str">
        <f t="shared" si="41"/>
        <v>profit</v>
      </c>
    </row>
    <row r="392" spans="1:18" ht="15.75" customHeight="1" x14ac:dyDescent="0.4">
      <c r="A392" s="1" t="s">
        <v>811</v>
      </c>
      <c r="B392" s="2">
        <v>45538</v>
      </c>
      <c r="C392" s="2">
        <v>45542</v>
      </c>
      <c r="D392" s="2" t="str">
        <f t="shared" si="39"/>
        <v>2024</v>
      </c>
      <c r="E392" s="2" t="str">
        <f t="shared" si="36"/>
        <v>September</v>
      </c>
      <c r="F392" s="2" t="str">
        <f t="shared" si="40"/>
        <v>Q4</v>
      </c>
      <c r="G392" s="13">
        <f t="shared" si="37"/>
        <v>4</v>
      </c>
      <c r="H392" s="12" t="s">
        <v>1987</v>
      </c>
      <c r="I392" s="1" t="s">
        <v>59</v>
      </c>
      <c r="J392" s="1" t="s">
        <v>14</v>
      </c>
      <c r="K392" s="1" t="s">
        <v>54</v>
      </c>
      <c r="L392" s="1" t="s">
        <v>812</v>
      </c>
      <c r="M392" s="10">
        <v>159.21</v>
      </c>
      <c r="N392" s="8">
        <v>3</v>
      </c>
      <c r="O392" s="6">
        <v>0.13</v>
      </c>
      <c r="P392" s="10">
        <v>127.94</v>
      </c>
      <c r="Q392" s="11">
        <f t="shared" si="38"/>
        <v>31.27000000000001</v>
      </c>
      <c r="R392" t="str">
        <f t="shared" si="41"/>
        <v>profit</v>
      </c>
    </row>
    <row r="393" spans="1:18" ht="15.75" customHeight="1" x14ac:dyDescent="0.4">
      <c r="A393" s="1" t="s">
        <v>813</v>
      </c>
      <c r="B393" s="2">
        <v>44933</v>
      </c>
      <c r="C393" s="2">
        <v>44942</v>
      </c>
      <c r="D393" s="2" t="str">
        <f t="shared" si="39"/>
        <v>2023</v>
      </c>
      <c r="E393" s="2" t="str">
        <f t="shared" si="36"/>
        <v>January</v>
      </c>
      <c r="F393" s="2" t="str">
        <f t="shared" si="40"/>
        <v>Q1</v>
      </c>
      <c r="G393" s="13">
        <f t="shared" si="37"/>
        <v>9</v>
      </c>
      <c r="H393" s="12" t="s">
        <v>23</v>
      </c>
      <c r="I393" s="1" t="s">
        <v>50</v>
      </c>
      <c r="J393" s="1" t="s">
        <v>14</v>
      </c>
      <c r="K393" s="1" t="s">
        <v>15</v>
      </c>
      <c r="L393" s="1" t="s">
        <v>139</v>
      </c>
      <c r="M393" s="10">
        <v>382.03</v>
      </c>
      <c r="N393" s="8">
        <v>8</v>
      </c>
      <c r="O393" s="6">
        <v>0.42</v>
      </c>
      <c r="P393" s="10">
        <v>198.83</v>
      </c>
      <c r="Q393" s="11">
        <f t="shared" si="38"/>
        <v>183.19999999999996</v>
      </c>
      <c r="R393" t="str">
        <f t="shared" si="41"/>
        <v>profit</v>
      </c>
    </row>
    <row r="394" spans="1:18" ht="15.75" customHeight="1" x14ac:dyDescent="0.4">
      <c r="A394" s="1" t="s">
        <v>814</v>
      </c>
      <c r="B394" s="2">
        <v>45081</v>
      </c>
      <c r="C394" s="2">
        <v>45085</v>
      </c>
      <c r="D394" s="2" t="str">
        <f t="shared" si="39"/>
        <v>2023</v>
      </c>
      <c r="E394" s="2" t="str">
        <f t="shared" si="36"/>
        <v>June</v>
      </c>
      <c r="F394" s="2" t="str">
        <f t="shared" si="40"/>
        <v>Q3</v>
      </c>
      <c r="G394" s="13">
        <f t="shared" si="37"/>
        <v>4</v>
      </c>
      <c r="H394" s="12" t="s">
        <v>1986</v>
      </c>
      <c r="I394" s="1" t="s">
        <v>59</v>
      </c>
      <c r="J394" s="1" t="s">
        <v>25</v>
      </c>
      <c r="K394" s="1" t="s">
        <v>26</v>
      </c>
      <c r="L394" s="1" t="s">
        <v>815</v>
      </c>
      <c r="M394" s="10">
        <v>346.61</v>
      </c>
      <c r="N394" s="8">
        <v>9</v>
      </c>
      <c r="O394" s="6">
        <v>0.45</v>
      </c>
      <c r="P394" s="10">
        <v>144.05000000000001</v>
      </c>
      <c r="Q394" s="11">
        <f t="shared" si="38"/>
        <v>202.56</v>
      </c>
      <c r="R394" t="str">
        <f t="shared" si="41"/>
        <v>profit</v>
      </c>
    </row>
    <row r="395" spans="1:18" ht="15.75" customHeight="1" x14ac:dyDescent="0.4">
      <c r="A395" s="1" t="s">
        <v>816</v>
      </c>
      <c r="B395" s="2">
        <v>44935</v>
      </c>
      <c r="C395" s="2">
        <v>44937</v>
      </c>
      <c r="D395" s="2" t="str">
        <f t="shared" si="39"/>
        <v>2023</v>
      </c>
      <c r="E395" s="2" t="str">
        <f t="shared" si="36"/>
        <v>January</v>
      </c>
      <c r="F395" s="2" t="str">
        <f t="shared" si="40"/>
        <v>Q1</v>
      </c>
      <c r="G395" s="13">
        <f t="shared" si="37"/>
        <v>2</v>
      </c>
      <c r="H395" s="12" t="s">
        <v>1987</v>
      </c>
      <c r="I395" s="1" t="s">
        <v>29</v>
      </c>
      <c r="J395" s="1" t="s">
        <v>19</v>
      </c>
      <c r="K395" s="1" t="s">
        <v>35</v>
      </c>
      <c r="L395" s="1" t="s">
        <v>817</v>
      </c>
      <c r="M395" s="10">
        <v>264.97000000000003</v>
      </c>
      <c r="N395" s="8">
        <v>10</v>
      </c>
      <c r="O395" s="6">
        <v>0.04</v>
      </c>
      <c r="P395" s="10">
        <v>214.76</v>
      </c>
      <c r="Q395" s="11">
        <f t="shared" si="38"/>
        <v>50.210000000000036</v>
      </c>
      <c r="R395" t="str">
        <f t="shared" si="41"/>
        <v>profit</v>
      </c>
    </row>
    <row r="396" spans="1:18" ht="15.75" customHeight="1" x14ac:dyDescent="0.4">
      <c r="A396" s="1" t="s">
        <v>818</v>
      </c>
      <c r="B396" s="2">
        <v>45337</v>
      </c>
      <c r="C396" s="2">
        <v>45337</v>
      </c>
      <c r="D396" s="2" t="str">
        <f t="shared" si="39"/>
        <v>2024</v>
      </c>
      <c r="E396" s="2" t="str">
        <f t="shared" si="36"/>
        <v>February</v>
      </c>
      <c r="F396" s="2" t="str">
        <f t="shared" si="40"/>
        <v>Q1</v>
      </c>
      <c r="G396" s="13">
        <f t="shared" si="37"/>
        <v>0</v>
      </c>
      <c r="H396" s="12" t="s">
        <v>1986</v>
      </c>
      <c r="I396" s="1" t="s">
        <v>24</v>
      </c>
      <c r="J396" s="1" t="s">
        <v>14</v>
      </c>
      <c r="K396" s="1" t="s">
        <v>54</v>
      </c>
      <c r="L396" s="1" t="s">
        <v>819</v>
      </c>
      <c r="M396" s="10">
        <v>694.19</v>
      </c>
      <c r="N396" s="8">
        <v>2</v>
      </c>
      <c r="O396" s="6">
        <v>0.17</v>
      </c>
      <c r="P396" s="10">
        <v>563.39</v>
      </c>
      <c r="Q396" s="11">
        <f t="shared" si="38"/>
        <v>130.80000000000007</v>
      </c>
      <c r="R396" t="str">
        <f t="shared" si="41"/>
        <v>profit</v>
      </c>
    </row>
    <row r="397" spans="1:18" ht="15.75" customHeight="1" x14ac:dyDescent="0.4">
      <c r="A397" s="1" t="s">
        <v>820</v>
      </c>
      <c r="B397" s="2">
        <v>45528</v>
      </c>
      <c r="C397" s="2">
        <v>45530</v>
      </c>
      <c r="D397" s="2" t="str">
        <f t="shared" si="39"/>
        <v>2024</v>
      </c>
      <c r="E397" s="2" t="str">
        <f t="shared" si="36"/>
        <v>August</v>
      </c>
      <c r="F397" s="2" t="str">
        <f t="shared" si="40"/>
        <v>Q3</v>
      </c>
      <c r="G397" s="13">
        <f t="shared" si="37"/>
        <v>2</v>
      </c>
      <c r="H397" s="12" t="s">
        <v>1987</v>
      </c>
      <c r="I397" s="1" t="s">
        <v>53</v>
      </c>
      <c r="J397" s="1" t="s">
        <v>14</v>
      </c>
      <c r="K397" s="1" t="s">
        <v>54</v>
      </c>
      <c r="L397" s="1" t="s">
        <v>821</v>
      </c>
      <c r="M397" s="10">
        <v>711.37</v>
      </c>
      <c r="N397" s="8">
        <v>7</v>
      </c>
      <c r="O397" s="6">
        <v>0.18</v>
      </c>
      <c r="P397" s="10">
        <v>538.48</v>
      </c>
      <c r="Q397" s="11">
        <f t="shared" si="38"/>
        <v>172.89</v>
      </c>
      <c r="R397" t="str">
        <f t="shared" si="41"/>
        <v>profit</v>
      </c>
    </row>
    <row r="398" spans="1:18" ht="15.75" customHeight="1" x14ac:dyDescent="0.4">
      <c r="A398" s="1" t="s">
        <v>822</v>
      </c>
      <c r="B398" s="2">
        <v>45066</v>
      </c>
      <c r="C398" s="2">
        <v>45073</v>
      </c>
      <c r="D398" s="2" t="str">
        <f t="shared" si="39"/>
        <v>2023</v>
      </c>
      <c r="E398" s="2" t="str">
        <f t="shared" si="36"/>
        <v>May</v>
      </c>
      <c r="F398" s="2" t="str">
        <f t="shared" si="40"/>
        <v>Q2</v>
      </c>
      <c r="G398" s="13">
        <f t="shared" si="37"/>
        <v>7</v>
      </c>
      <c r="H398" s="12" t="s">
        <v>23</v>
      </c>
      <c r="I398" s="1" t="s">
        <v>46</v>
      </c>
      <c r="J398" s="1" t="s">
        <v>19</v>
      </c>
      <c r="K398" s="1" t="s">
        <v>35</v>
      </c>
      <c r="L398" s="1" t="s">
        <v>823</v>
      </c>
      <c r="M398" s="10">
        <v>842.68</v>
      </c>
      <c r="N398" s="8">
        <v>1</v>
      </c>
      <c r="O398" s="6">
        <v>0.35</v>
      </c>
      <c r="P398" s="10">
        <v>502.17</v>
      </c>
      <c r="Q398" s="11">
        <f t="shared" si="38"/>
        <v>340.50999999999993</v>
      </c>
      <c r="R398" t="str">
        <f t="shared" si="41"/>
        <v>profit</v>
      </c>
    </row>
    <row r="399" spans="1:18" ht="15.75" customHeight="1" x14ac:dyDescent="0.4">
      <c r="A399" s="1" t="s">
        <v>824</v>
      </c>
      <c r="B399" s="2">
        <v>44975</v>
      </c>
      <c r="C399" s="2">
        <v>44983</v>
      </c>
      <c r="D399" s="2" t="str">
        <f t="shared" si="39"/>
        <v>2023</v>
      </c>
      <c r="E399" s="2" t="str">
        <f t="shared" si="36"/>
        <v>February</v>
      </c>
      <c r="F399" s="2" t="str">
        <f t="shared" si="40"/>
        <v>Q1</v>
      </c>
      <c r="G399" s="13">
        <f t="shared" si="37"/>
        <v>8</v>
      </c>
      <c r="H399" s="12" t="s">
        <v>23</v>
      </c>
      <c r="I399" s="1" t="s">
        <v>13</v>
      </c>
      <c r="J399" s="1" t="s">
        <v>19</v>
      </c>
      <c r="K399" s="1" t="s">
        <v>35</v>
      </c>
      <c r="L399" s="1" t="s">
        <v>252</v>
      </c>
      <c r="M399" s="10">
        <v>382.81</v>
      </c>
      <c r="N399" s="8">
        <v>10</v>
      </c>
      <c r="O399" s="6">
        <v>0.09</v>
      </c>
      <c r="P399" s="10">
        <v>303.85000000000002</v>
      </c>
      <c r="Q399" s="11">
        <f t="shared" si="38"/>
        <v>78.95999999999998</v>
      </c>
      <c r="R399" t="str">
        <f t="shared" si="41"/>
        <v>profit</v>
      </c>
    </row>
    <row r="400" spans="1:18" ht="15.75" customHeight="1" x14ac:dyDescent="0.4">
      <c r="A400" s="1" t="s">
        <v>825</v>
      </c>
      <c r="B400" s="2">
        <v>44909</v>
      </c>
      <c r="C400" s="2">
        <v>44916</v>
      </c>
      <c r="D400" s="2" t="str">
        <f t="shared" si="39"/>
        <v>2022</v>
      </c>
      <c r="E400" s="2" t="str">
        <f t="shared" si="36"/>
        <v>December</v>
      </c>
      <c r="F400" s="2" t="str">
        <f t="shared" si="40"/>
        <v>Q4</v>
      </c>
      <c r="G400" s="13">
        <f t="shared" si="37"/>
        <v>7</v>
      </c>
      <c r="H400" s="12" t="s">
        <v>1986</v>
      </c>
      <c r="I400" s="1" t="s">
        <v>13</v>
      </c>
      <c r="J400" s="1" t="s">
        <v>14</v>
      </c>
      <c r="K400" s="1" t="s">
        <v>15</v>
      </c>
      <c r="L400" s="1" t="s">
        <v>826</v>
      </c>
      <c r="M400" s="10">
        <v>177.83</v>
      </c>
      <c r="N400" s="8">
        <v>3</v>
      </c>
      <c r="O400" s="6">
        <v>0.38</v>
      </c>
      <c r="P400" s="10">
        <v>79.13</v>
      </c>
      <c r="Q400" s="11">
        <f t="shared" si="38"/>
        <v>98.700000000000017</v>
      </c>
      <c r="R400" t="str">
        <f t="shared" si="41"/>
        <v>profit</v>
      </c>
    </row>
    <row r="401" spans="1:18" ht="15.75" customHeight="1" x14ac:dyDescent="0.4">
      <c r="A401" s="1" t="s">
        <v>827</v>
      </c>
      <c r="B401" s="2">
        <v>45297</v>
      </c>
      <c r="C401" s="2">
        <v>45303</v>
      </c>
      <c r="D401" s="2" t="str">
        <f t="shared" si="39"/>
        <v>2024</v>
      </c>
      <c r="E401" s="2" t="str">
        <f t="shared" si="36"/>
        <v>January</v>
      </c>
      <c r="F401" s="2" t="str">
        <f t="shared" si="40"/>
        <v>Q1</v>
      </c>
      <c r="G401" s="13">
        <f t="shared" si="37"/>
        <v>6</v>
      </c>
      <c r="H401" s="12" t="s">
        <v>1987</v>
      </c>
      <c r="I401" s="1" t="s">
        <v>24</v>
      </c>
      <c r="J401" s="1" t="s">
        <v>25</v>
      </c>
      <c r="K401" s="1" t="s">
        <v>43</v>
      </c>
      <c r="L401" s="1" t="s">
        <v>828</v>
      </c>
      <c r="M401" s="10">
        <v>853</v>
      </c>
      <c r="N401" s="8">
        <v>5</v>
      </c>
      <c r="O401" s="6">
        <v>0.28000000000000003</v>
      </c>
      <c r="P401" s="10">
        <v>580.95000000000005</v>
      </c>
      <c r="Q401" s="11">
        <f t="shared" si="38"/>
        <v>272.04999999999995</v>
      </c>
      <c r="R401" t="str">
        <f t="shared" si="41"/>
        <v>profit</v>
      </c>
    </row>
    <row r="402" spans="1:18" ht="15.75" customHeight="1" x14ac:dyDescent="0.4">
      <c r="A402" s="1" t="s">
        <v>829</v>
      </c>
      <c r="B402" s="2">
        <v>45439</v>
      </c>
      <c r="C402" s="2">
        <v>45446</v>
      </c>
      <c r="D402" s="2" t="str">
        <f t="shared" si="39"/>
        <v>2024</v>
      </c>
      <c r="E402" s="2" t="str">
        <f t="shared" si="36"/>
        <v>June</v>
      </c>
      <c r="F402" s="2" t="str">
        <f t="shared" si="40"/>
        <v>Q3</v>
      </c>
      <c r="G402" s="13">
        <f t="shared" si="37"/>
        <v>7</v>
      </c>
      <c r="H402" s="12" t="s">
        <v>23</v>
      </c>
      <c r="I402" s="1" t="s">
        <v>53</v>
      </c>
      <c r="J402" s="1" t="s">
        <v>25</v>
      </c>
      <c r="K402" s="1" t="s">
        <v>43</v>
      </c>
      <c r="L402" s="1" t="s">
        <v>830</v>
      </c>
      <c r="M402" s="10">
        <v>317.3</v>
      </c>
      <c r="N402" s="8">
        <v>9</v>
      </c>
      <c r="O402" s="6">
        <v>0.04</v>
      </c>
      <c r="P402" s="10">
        <v>271.01</v>
      </c>
      <c r="Q402" s="11">
        <f t="shared" si="38"/>
        <v>46.29000000000002</v>
      </c>
      <c r="R402" t="str">
        <f t="shared" si="41"/>
        <v>profit</v>
      </c>
    </row>
    <row r="403" spans="1:18" ht="15.75" customHeight="1" x14ac:dyDescent="0.4">
      <c r="A403" s="1" t="s">
        <v>831</v>
      </c>
      <c r="B403" s="2">
        <v>45384</v>
      </c>
      <c r="C403" s="2">
        <v>45389</v>
      </c>
      <c r="D403" s="2" t="str">
        <f t="shared" si="39"/>
        <v>2024</v>
      </c>
      <c r="E403" s="2" t="str">
        <f t="shared" si="36"/>
        <v>April</v>
      </c>
      <c r="F403" s="2" t="str">
        <f t="shared" si="40"/>
        <v>Q2</v>
      </c>
      <c r="G403" s="13">
        <f t="shared" si="37"/>
        <v>5</v>
      </c>
      <c r="H403" s="12" t="s">
        <v>1986</v>
      </c>
      <c r="I403" s="1" t="s">
        <v>24</v>
      </c>
      <c r="J403" s="1" t="s">
        <v>25</v>
      </c>
      <c r="K403" s="1" t="s">
        <v>47</v>
      </c>
      <c r="L403" s="1" t="s">
        <v>832</v>
      </c>
      <c r="M403" s="10">
        <v>29.36</v>
      </c>
      <c r="N403" s="8">
        <v>1</v>
      </c>
      <c r="O403" s="6">
        <v>0.31</v>
      </c>
      <c r="P403" s="10">
        <v>6.06</v>
      </c>
      <c r="Q403" s="11">
        <f t="shared" si="38"/>
        <v>23.3</v>
      </c>
      <c r="R403" t="str">
        <f t="shared" si="41"/>
        <v>profit</v>
      </c>
    </row>
    <row r="404" spans="1:18" ht="15.75" customHeight="1" x14ac:dyDescent="0.4">
      <c r="A404" s="1" t="s">
        <v>833</v>
      </c>
      <c r="B404" s="2">
        <v>45527</v>
      </c>
      <c r="C404" s="2">
        <v>45530</v>
      </c>
      <c r="D404" s="2" t="str">
        <f t="shared" si="39"/>
        <v>2024</v>
      </c>
      <c r="E404" s="2" t="str">
        <f t="shared" si="36"/>
        <v>August</v>
      </c>
      <c r="F404" s="2" t="str">
        <f t="shared" si="40"/>
        <v>Q3</v>
      </c>
      <c r="G404" s="13">
        <f t="shared" si="37"/>
        <v>3</v>
      </c>
      <c r="H404" s="12" t="s">
        <v>1986</v>
      </c>
      <c r="I404" s="1" t="s">
        <v>13</v>
      </c>
      <c r="J404" s="1" t="s">
        <v>14</v>
      </c>
      <c r="K404" s="1" t="s">
        <v>15</v>
      </c>
      <c r="L404" s="1" t="s">
        <v>834</v>
      </c>
      <c r="M404" s="10">
        <v>524.1</v>
      </c>
      <c r="N404" s="8">
        <v>6</v>
      </c>
      <c r="O404" s="6">
        <v>0.32</v>
      </c>
      <c r="P404" s="10">
        <v>331.98</v>
      </c>
      <c r="Q404" s="11">
        <f t="shared" si="38"/>
        <v>192.12</v>
      </c>
      <c r="R404" t="str">
        <f t="shared" si="41"/>
        <v>profit</v>
      </c>
    </row>
    <row r="405" spans="1:18" ht="15.75" customHeight="1" x14ac:dyDescent="0.4">
      <c r="A405" s="1" t="s">
        <v>835</v>
      </c>
      <c r="B405" s="2">
        <v>45376</v>
      </c>
      <c r="C405" s="2">
        <v>45378</v>
      </c>
      <c r="D405" s="2" t="str">
        <f t="shared" si="39"/>
        <v>2024</v>
      </c>
      <c r="E405" s="2" t="str">
        <f t="shared" si="36"/>
        <v>March</v>
      </c>
      <c r="F405" s="2" t="str">
        <f t="shared" si="40"/>
        <v>Q2</v>
      </c>
      <c r="G405" s="13">
        <f t="shared" si="37"/>
        <v>2</v>
      </c>
      <c r="H405" s="12" t="s">
        <v>1987</v>
      </c>
      <c r="I405" s="1" t="s">
        <v>24</v>
      </c>
      <c r="J405" s="1" t="s">
        <v>19</v>
      </c>
      <c r="K405" s="1" t="s">
        <v>92</v>
      </c>
      <c r="L405" s="1" t="s">
        <v>836</v>
      </c>
      <c r="M405" s="10">
        <v>50.54</v>
      </c>
      <c r="N405" s="8">
        <v>7</v>
      </c>
      <c r="O405" s="6">
        <v>0.16</v>
      </c>
      <c r="P405" s="10">
        <v>22.68</v>
      </c>
      <c r="Q405" s="11">
        <f t="shared" si="38"/>
        <v>27.86</v>
      </c>
      <c r="R405" t="str">
        <f t="shared" si="41"/>
        <v>profit</v>
      </c>
    </row>
    <row r="406" spans="1:18" ht="15.75" customHeight="1" x14ac:dyDescent="0.4">
      <c r="A406" s="1" t="s">
        <v>837</v>
      </c>
      <c r="B406" s="2">
        <v>44943</v>
      </c>
      <c r="C406" s="2">
        <v>44952</v>
      </c>
      <c r="D406" s="2" t="str">
        <f t="shared" si="39"/>
        <v>2023</v>
      </c>
      <c r="E406" s="2" t="str">
        <f t="shared" si="36"/>
        <v>January</v>
      </c>
      <c r="F406" s="2" t="str">
        <f t="shared" si="40"/>
        <v>Q1</v>
      </c>
      <c r="G406" s="13">
        <f t="shared" si="37"/>
        <v>9</v>
      </c>
      <c r="H406" s="12" t="s">
        <v>42</v>
      </c>
      <c r="I406" s="1" t="s">
        <v>18</v>
      </c>
      <c r="J406" s="1" t="s">
        <v>25</v>
      </c>
      <c r="K406" s="1" t="s">
        <v>26</v>
      </c>
      <c r="L406" s="1" t="s">
        <v>838</v>
      </c>
      <c r="M406" s="10">
        <v>425.69</v>
      </c>
      <c r="N406" s="8">
        <v>6</v>
      </c>
      <c r="O406" s="6">
        <v>0.38</v>
      </c>
      <c r="P406" s="10">
        <v>224.4</v>
      </c>
      <c r="Q406" s="11">
        <f t="shared" si="38"/>
        <v>201.29</v>
      </c>
      <c r="R406" t="str">
        <f t="shared" si="41"/>
        <v>profit</v>
      </c>
    </row>
    <row r="407" spans="1:18" ht="15.75" customHeight="1" x14ac:dyDescent="0.4">
      <c r="A407" s="1" t="s">
        <v>839</v>
      </c>
      <c r="B407" s="2">
        <v>45169</v>
      </c>
      <c r="C407" s="2">
        <v>45176</v>
      </c>
      <c r="D407" s="2" t="str">
        <f t="shared" si="39"/>
        <v>2023</v>
      </c>
      <c r="E407" s="2" t="str">
        <f t="shared" si="36"/>
        <v>September</v>
      </c>
      <c r="F407" s="2" t="str">
        <f t="shared" si="40"/>
        <v>Q4</v>
      </c>
      <c r="G407" s="13">
        <f t="shared" si="37"/>
        <v>7</v>
      </c>
      <c r="H407" s="12" t="s">
        <v>1986</v>
      </c>
      <c r="I407" s="1" t="s">
        <v>13</v>
      </c>
      <c r="J407" s="1" t="s">
        <v>25</v>
      </c>
      <c r="K407" s="1" t="s">
        <v>26</v>
      </c>
      <c r="L407" s="1" t="s">
        <v>840</v>
      </c>
      <c r="M407" s="10">
        <v>781.92</v>
      </c>
      <c r="N407" s="8">
        <v>6</v>
      </c>
      <c r="O407" s="6">
        <v>0.22</v>
      </c>
      <c r="P407" s="10">
        <v>581.30999999999995</v>
      </c>
      <c r="Q407" s="11">
        <f t="shared" si="38"/>
        <v>200.61</v>
      </c>
      <c r="R407" t="str">
        <f t="shared" si="41"/>
        <v>profit</v>
      </c>
    </row>
    <row r="408" spans="1:18" ht="15.75" customHeight="1" x14ac:dyDescent="0.4">
      <c r="A408" s="1" t="s">
        <v>841</v>
      </c>
      <c r="B408" s="2">
        <v>45405</v>
      </c>
      <c r="C408" s="2">
        <v>45412</v>
      </c>
      <c r="D408" s="2" t="str">
        <f t="shared" si="39"/>
        <v>2024</v>
      </c>
      <c r="E408" s="2" t="str">
        <f t="shared" si="36"/>
        <v>April</v>
      </c>
      <c r="F408" s="2" t="str">
        <f t="shared" si="40"/>
        <v>Q2</v>
      </c>
      <c r="G408" s="13">
        <f t="shared" si="37"/>
        <v>7</v>
      </c>
      <c r="H408" s="12" t="s">
        <v>42</v>
      </c>
      <c r="I408" s="1" t="s">
        <v>29</v>
      </c>
      <c r="J408" s="1" t="s">
        <v>14</v>
      </c>
      <c r="K408" s="1" t="s">
        <v>54</v>
      </c>
      <c r="L408" s="1" t="s">
        <v>842</v>
      </c>
      <c r="M408" s="10">
        <v>494.57</v>
      </c>
      <c r="N408" s="8">
        <v>10</v>
      </c>
      <c r="O408" s="6">
        <v>0.43</v>
      </c>
      <c r="P408" s="10">
        <v>247.19</v>
      </c>
      <c r="Q408" s="11">
        <f t="shared" si="38"/>
        <v>247.38</v>
      </c>
      <c r="R408" t="str">
        <f t="shared" si="41"/>
        <v>profit</v>
      </c>
    </row>
    <row r="409" spans="1:18" ht="15.75" customHeight="1" x14ac:dyDescent="0.4">
      <c r="A409" s="1" t="s">
        <v>843</v>
      </c>
      <c r="B409" s="2">
        <v>45403</v>
      </c>
      <c r="C409" s="2">
        <v>45412</v>
      </c>
      <c r="D409" s="2" t="str">
        <f t="shared" si="39"/>
        <v>2024</v>
      </c>
      <c r="E409" s="2" t="str">
        <f t="shared" si="36"/>
        <v>April</v>
      </c>
      <c r="F409" s="2" t="str">
        <f t="shared" si="40"/>
        <v>Q2</v>
      </c>
      <c r="G409" s="13">
        <f t="shared" si="37"/>
        <v>9</v>
      </c>
      <c r="H409" s="12" t="s">
        <v>1987</v>
      </c>
      <c r="I409" s="1" t="s">
        <v>50</v>
      </c>
      <c r="J409" s="1" t="s">
        <v>19</v>
      </c>
      <c r="K409" s="1" t="s">
        <v>20</v>
      </c>
      <c r="L409" s="1" t="s">
        <v>844</v>
      </c>
      <c r="M409" s="10">
        <v>276.48</v>
      </c>
      <c r="N409" s="8">
        <v>1</v>
      </c>
      <c r="O409" s="6">
        <v>0.39</v>
      </c>
      <c r="P409" s="10">
        <v>150.43</v>
      </c>
      <c r="Q409" s="11">
        <f t="shared" si="38"/>
        <v>126.05000000000001</v>
      </c>
      <c r="R409" t="str">
        <f t="shared" si="41"/>
        <v>profit</v>
      </c>
    </row>
    <row r="410" spans="1:18" ht="15.75" customHeight="1" x14ac:dyDescent="0.4">
      <c r="A410" s="1" t="s">
        <v>845</v>
      </c>
      <c r="B410" s="2">
        <v>45305</v>
      </c>
      <c r="C410" s="2">
        <v>45312</v>
      </c>
      <c r="D410" s="2" t="str">
        <f t="shared" si="39"/>
        <v>2024</v>
      </c>
      <c r="E410" s="2" t="str">
        <f t="shared" si="36"/>
        <v>January</v>
      </c>
      <c r="F410" s="2" t="str">
        <f t="shared" si="40"/>
        <v>Q1</v>
      </c>
      <c r="G410" s="13">
        <f t="shared" si="37"/>
        <v>7</v>
      </c>
      <c r="H410" s="12" t="s">
        <v>1987</v>
      </c>
      <c r="I410" s="1" t="s">
        <v>24</v>
      </c>
      <c r="J410" s="1" t="s">
        <v>19</v>
      </c>
      <c r="K410" s="1" t="s">
        <v>20</v>
      </c>
      <c r="L410" s="1" t="s">
        <v>846</v>
      </c>
      <c r="M410" s="10">
        <v>428.39</v>
      </c>
      <c r="N410" s="8">
        <v>1</v>
      </c>
      <c r="O410" s="6">
        <v>0.02</v>
      </c>
      <c r="P410" s="10">
        <v>370.52</v>
      </c>
      <c r="Q410" s="11">
        <f t="shared" si="38"/>
        <v>57.870000000000005</v>
      </c>
      <c r="R410" t="str">
        <f t="shared" si="41"/>
        <v>profit</v>
      </c>
    </row>
    <row r="411" spans="1:18" ht="15.75" customHeight="1" x14ac:dyDescent="0.4">
      <c r="A411" s="1" t="s">
        <v>847</v>
      </c>
      <c r="B411" s="2">
        <v>45582</v>
      </c>
      <c r="C411" s="2">
        <v>45587</v>
      </c>
      <c r="D411" s="2" t="str">
        <f t="shared" si="39"/>
        <v>2024</v>
      </c>
      <c r="E411" s="2" t="str">
        <f t="shared" si="36"/>
        <v>October</v>
      </c>
      <c r="F411" s="2" t="str">
        <f t="shared" si="40"/>
        <v>Q4</v>
      </c>
      <c r="G411" s="13">
        <f t="shared" si="37"/>
        <v>5</v>
      </c>
      <c r="H411" s="12" t="s">
        <v>1986</v>
      </c>
      <c r="I411" s="1" t="s">
        <v>53</v>
      </c>
      <c r="J411" s="1" t="s">
        <v>19</v>
      </c>
      <c r="K411" s="1" t="s">
        <v>35</v>
      </c>
      <c r="L411" s="1" t="s">
        <v>680</v>
      </c>
      <c r="M411" s="10">
        <v>843.79</v>
      </c>
      <c r="N411" s="8">
        <v>4</v>
      </c>
      <c r="O411" s="6">
        <v>0.18</v>
      </c>
      <c r="P411" s="10">
        <v>674.09</v>
      </c>
      <c r="Q411" s="11">
        <f t="shared" si="38"/>
        <v>169.69999999999993</v>
      </c>
      <c r="R411" t="str">
        <f t="shared" si="41"/>
        <v>profit</v>
      </c>
    </row>
    <row r="412" spans="1:18" ht="15.75" customHeight="1" x14ac:dyDescent="0.4">
      <c r="A412" s="1" t="s">
        <v>849</v>
      </c>
      <c r="B412" s="2">
        <v>45518</v>
      </c>
      <c r="C412" s="2">
        <v>45519</v>
      </c>
      <c r="D412" s="2" t="str">
        <f t="shared" si="39"/>
        <v>2024</v>
      </c>
      <c r="E412" s="2" t="str">
        <f t="shared" si="36"/>
        <v>August</v>
      </c>
      <c r="F412" s="2" t="str">
        <f t="shared" si="40"/>
        <v>Q3</v>
      </c>
      <c r="G412" s="13">
        <f t="shared" si="37"/>
        <v>1</v>
      </c>
      <c r="H412" s="12" t="s">
        <v>1987</v>
      </c>
      <c r="I412" s="1" t="s">
        <v>46</v>
      </c>
      <c r="J412" s="1" t="s">
        <v>25</v>
      </c>
      <c r="K412" s="1" t="s">
        <v>47</v>
      </c>
      <c r="L412" s="1" t="s">
        <v>850</v>
      </c>
      <c r="M412" s="10">
        <v>33.97</v>
      </c>
      <c r="N412" s="8">
        <v>3</v>
      </c>
      <c r="O412" s="6">
        <v>0.32</v>
      </c>
      <c r="P412" s="10">
        <v>-23.95</v>
      </c>
      <c r="Q412" s="11">
        <f t="shared" si="38"/>
        <v>57.92</v>
      </c>
      <c r="R412" t="str">
        <f t="shared" si="41"/>
        <v>loss</v>
      </c>
    </row>
    <row r="413" spans="1:18" ht="15.75" customHeight="1" x14ac:dyDescent="0.4">
      <c r="A413" s="1" t="s">
        <v>851</v>
      </c>
      <c r="B413" s="2">
        <v>44959</v>
      </c>
      <c r="C413" s="2">
        <v>44964</v>
      </c>
      <c r="D413" s="2" t="str">
        <f t="shared" si="39"/>
        <v>2023</v>
      </c>
      <c r="E413" s="2" t="str">
        <f t="shared" si="36"/>
        <v>February</v>
      </c>
      <c r="F413" s="2" t="str">
        <f t="shared" si="40"/>
        <v>Q1</v>
      </c>
      <c r="G413" s="13">
        <f t="shared" si="37"/>
        <v>5</v>
      </c>
      <c r="H413" s="12" t="s">
        <v>42</v>
      </c>
      <c r="I413" s="1" t="s">
        <v>18</v>
      </c>
      <c r="J413" s="1" t="s">
        <v>14</v>
      </c>
      <c r="K413" s="1" t="s">
        <v>30</v>
      </c>
      <c r="L413" s="1" t="s">
        <v>798</v>
      </c>
      <c r="M413" s="10">
        <v>143.96</v>
      </c>
      <c r="N413" s="8">
        <v>5</v>
      </c>
      <c r="O413" s="6">
        <v>0.15</v>
      </c>
      <c r="P413" s="10">
        <v>79.849999999999994</v>
      </c>
      <c r="Q413" s="11">
        <f t="shared" si="38"/>
        <v>64.110000000000014</v>
      </c>
      <c r="R413" t="str">
        <f t="shared" si="41"/>
        <v>profit</v>
      </c>
    </row>
    <row r="414" spans="1:18" ht="15.75" customHeight="1" x14ac:dyDescent="0.4">
      <c r="A414" s="1" t="s">
        <v>852</v>
      </c>
      <c r="B414" s="2">
        <v>45584</v>
      </c>
      <c r="C414" s="2">
        <v>45585</v>
      </c>
      <c r="D414" s="2" t="str">
        <f t="shared" si="39"/>
        <v>2024</v>
      </c>
      <c r="E414" s="2" t="str">
        <f t="shared" si="36"/>
        <v>October</v>
      </c>
      <c r="F414" s="2" t="str">
        <f t="shared" si="40"/>
        <v>Q4</v>
      </c>
      <c r="G414" s="13">
        <f t="shared" si="37"/>
        <v>1</v>
      </c>
      <c r="H414" s="12" t="s">
        <v>23</v>
      </c>
      <c r="I414" s="1" t="s">
        <v>50</v>
      </c>
      <c r="J414" s="1" t="s">
        <v>19</v>
      </c>
      <c r="K414" s="1" t="s">
        <v>35</v>
      </c>
      <c r="L414" s="1" t="s">
        <v>430</v>
      </c>
      <c r="M414" s="10">
        <v>594.78</v>
      </c>
      <c r="N414" s="8">
        <v>10</v>
      </c>
      <c r="O414" s="6">
        <v>0.38</v>
      </c>
      <c r="P414" s="10">
        <v>343.29</v>
      </c>
      <c r="Q414" s="11">
        <f t="shared" si="38"/>
        <v>251.48999999999995</v>
      </c>
      <c r="R414" t="str">
        <f t="shared" si="41"/>
        <v>profit</v>
      </c>
    </row>
    <row r="415" spans="1:18" ht="15.75" customHeight="1" x14ac:dyDescent="0.4">
      <c r="A415" s="1" t="s">
        <v>853</v>
      </c>
      <c r="B415" s="2">
        <v>45556</v>
      </c>
      <c r="C415" s="2">
        <v>45558</v>
      </c>
      <c r="D415" s="2" t="str">
        <f t="shared" si="39"/>
        <v>2024</v>
      </c>
      <c r="E415" s="2" t="str">
        <f t="shared" si="36"/>
        <v>September</v>
      </c>
      <c r="F415" s="2" t="str">
        <f t="shared" si="40"/>
        <v>Q4</v>
      </c>
      <c r="G415" s="13">
        <f t="shared" si="37"/>
        <v>2</v>
      </c>
      <c r="H415" s="12" t="s">
        <v>1987</v>
      </c>
      <c r="I415" s="1" t="s">
        <v>53</v>
      </c>
      <c r="J415" s="1" t="s">
        <v>25</v>
      </c>
      <c r="K415" s="1" t="s">
        <v>47</v>
      </c>
      <c r="L415" s="1" t="s">
        <v>854</v>
      </c>
      <c r="M415" s="10">
        <v>457.43</v>
      </c>
      <c r="N415" s="8">
        <v>9</v>
      </c>
      <c r="O415" s="6">
        <v>0.33</v>
      </c>
      <c r="P415" s="10">
        <v>293.5</v>
      </c>
      <c r="Q415" s="11">
        <f t="shared" si="38"/>
        <v>163.93</v>
      </c>
      <c r="R415" t="str">
        <f t="shared" si="41"/>
        <v>profit</v>
      </c>
    </row>
    <row r="416" spans="1:18" ht="15.75" customHeight="1" x14ac:dyDescent="0.4">
      <c r="A416" s="1" t="s">
        <v>855</v>
      </c>
      <c r="B416" s="2">
        <v>45068</v>
      </c>
      <c r="C416" s="2">
        <v>45072</v>
      </c>
      <c r="D416" s="2" t="str">
        <f t="shared" si="39"/>
        <v>2023</v>
      </c>
      <c r="E416" s="2" t="str">
        <f t="shared" si="36"/>
        <v>May</v>
      </c>
      <c r="F416" s="2" t="str">
        <f t="shared" si="40"/>
        <v>Q2</v>
      </c>
      <c r="G416" s="13">
        <f t="shared" si="37"/>
        <v>4</v>
      </c>
      <c r="H416" s="12" t="s">
        <v>1987</v>
      </c>
      <c r="I416" s="1" t="s">
        <v>13</v>
      </c>
      <c r="J416" s="1" t="s">
        <v>25</v>
      </c>
      <c r="K416" s="1" t="s">
        <v>47</v>
      </c>
      <c r="L416" s="1" t="s">
        <v>856</v>
      </c>
      <c r="M416" s="10">
        <v>849.26</v>
      </c>
      <c r="N416" s="8">
        <v>2</v>
      </c>
      <c r="O416" s="6">
        <v>0.25</v>
      </c>
      <c r="P416" s="10">
        <v>609.88</v>
      </c>
      <c r="Q416" s="11">
        <f t="shared" si="38"/>
        <v>239.38</v>
      </c>
      <c r="R416" t="str">
        <f t="shared" si="41"/>
        <v>profit</v>
      </c>
    </row>
    <row r="417" spans="1:18" ht="15.75" customHeight="1" x14ac:dyDescent="0.4">
      <c r="A417" s="1" t="s">
        <v>857</v>
      </c>
      <c r="B417" s="2">
        <v>45277</v>
      </c>
      <c r="C417" s="2">
        <v>45281</v>
      </c>
      <c r="D417" s="2" t="str">
        <f t="shared" si="39"/>
        <v>2023</v>
      </c>
      <c r="E417" s="2" t="str">
        <f t="shared" si="36"/>
        <v>December</v>
      </c>
      <c r="F417" s="2" t="str">
        <f t="shared" si="40"/>
        <v>Q4</v>
      </c>
      <c r="G417" s="13">
        <f t="shared" si="37"/>
        <v>4</v>
      </c>
      <c r="H417" s="12" t="s">
        <v>23</v>
      </c>
      <c r="I417" s="1" t="s">
        <v>13</v>
      </c>
      <c r="J417" s="1" t="s">
        <v>25</v>
      </c>
      <c r="K417" s="1" t="s">
        <v>47</v>
      </c>
      <c r="L417" s="1" t="s">
        <v>858</v>
      </c>
      <c r="M417" s="10">
        <v>392.54</v>
      </c>
      <c r="N417" s="8">
        <v>8</v>
      </c>
      <c r="O417" s="6">
        <v>0.09</v>
      </c>
      <c r="P417" s="10">
        <v>313.89999999999998</v>
      </c>
      <c r="Q417" s="11">
        <f t="shared" si="38"/>
        <v>78.640000000000043</v>
      </c>
      <c r="R417" t="str">
        <f t="shared" si="41"/>
        <v>profit</v>
      </c>
    </row>
    <row r="418" spans="1:18" ht="15.75" customHeight="1" x14ac:dyDescent="0.4">
      <c r="A418" s="1" t="s">
        <v>859</v>
      </c>
      <c r="B418" s="2">
        <v>45357</v>
      </c>
      <c r="C418" s="2">
        <v>45365</v>
      </c>
      <c r="D418" s="2" t="str">
        <f t="shared" si="39"/>
        <v>2024</v>
      </c>
      <c r="E418" s="2" t="str">
        <f t="shared" si="36"/>
        <v>March</v>
      </c>
      <c r="F418" s="2" t="str">
        <f t="shared" si="40"/>
        <v>Q2</v>
      </c>
      <c r="G418" s="13">
        <f t="shared" si="37"/>
        <v>8</v>
      </c>
      <c r="H418" s="12" t="s">
        <v>1986</v>
      </c>
      <c r="I418" s="1" t="s">
        <v>24</v>
      </c>
      <c r="J418" s="1" t="s">
        <v>14</v>
      </c>
      <c r="K418" s="1" t="s">
        <v>30</v>
      </c>
      <c r="L418" s="1" t="s">
        <v>860</v>
      </c>
      <c r="M418" s="10">
        <v>309.7</v>
      </c>
      <c r="N418" s="8">
        <v>10</v>
      </c>
      <c r="O418" s="6">
        <v>0.13</v>
      </c>
      <c r="P418" s="10">
        <v>259.02999999999997</v>
      </c>
      <c r="Q418" s="11">
        <f t="shared" si="38"/>
        <v>50.670000000000016</v>
      </c>
      <c r="R418" t="str">
        <f t="shared" si="41"/>
        <v>profit</v>
      </c>
    </row>
    <row r="419" spans="1:18" ht="15.75" customHeight="1" x14ac:dyDescent="0.4">
      <c r="A419" s="1" t="s">
        <v>861</v>
      </c>
      <c r="B419" s="2">
        <v>45533</v>
      </c>
      <c r="C419" s="2">
        <v>45536</v>
      </c>
      <c r="D419" s="2" t="str">
        <f t="shared" si="39"/>
        <v>2024</v>
      </c>
      <c r="E419" s="2" t="str">
        <f t="shared" si="36"/>
        <v>September</v>
      </c>
      <c r="F419" s="2" t="str">
        <f t="shared" si="40"/>
        <v>Q4</v>
      </c>
      <c r="G419" s="13">
        <f t="shared" si="37"/>
        <v>3</v>
      </c>
      <c r="H419" s="12" t="s">
        <v>42</v>
      </c>
      <c r="I419" s="1" t="s">
        <v>46</v>
      </c>
      <c r="J419" s="1" t="s">
        <v>19</v>
      </c>
      <c r="K419" s="1" t="s">
        <v>35</v>
      </c>
      <c r="L419" s="1" t="s">
        <v>862</v>
      </c>
      <c r="M419" s="10">
        <v>867.22</v>
      </c>
      <c r="N419" s="8">
        <v>2</v>
      </c>
      <c r="O419" s="6">
        <v>0.03</v>
      </c>
      <c r="P419" s="10">
        <v>793.35</v>
      </c>
      <c r="Q419" s="11">
        <f t="shared" si="38"/>
        <v>73.87</v>
      </c>
      <c r="R419" t="str">
        <f t="shared" si="41"/>
        <v>profit</v>
      </c>
    </row>
    <row r="420" spans="1:18" ht="15.75" customHeight="1" x14ac:dyDescent="0.4">
      <c r="A420" s="1" t="s">
        <v>863</v>
      </c>
      <c r="B420" s="2">
        <v>45428</v>
      </c>
      <c r="C420" s="2">
        <v>45434</v>
      </c>
      <c r="D420" s="2" t="str">
        <f t="shared" si="39"/>
        <v>2024</v>
      </c>
      <c r="E420" s="2" t="str">
        <f t="shared" si="36"/>
        <v>May</v>
      </c>
      <c r="F420" s="2" t="str">
        <f t="shared" si="40"/>
        <v>Q2</v>
      </c>
      <c r="G420" s="13">
        <f t="shared" si="37"/>
        <v>6</v>
      </c>
      <c r="H420" s="12" t="s">
        <v>1987</v>
      </c>
      <c r="I420" s="1" t="s">
        <v>18</v>
      </c>
      <c r="J420" s="1" t="s">
        <v>19</v>
      </c>
      <c r="K420" s="1" t="s">
        <v>20</v>
      </c>
      <c r="L420" s="1" t="s">
        <v>864</v>
      </c>
      <c r="M420" s="10">
        <v>236.52</v>
      </c>
      <c r="N420" s="8">
        <v>10</v>
      </c>
      <c r="O420" s="6">
        <v>0.09</v>
      </c>
      <c r="P420" s="10">
        <v>193.61</v>
      </c>
      <c r="Q420" s="11">
        <f t="shared" si="38"/>
        <v>42.91</v>
      </c>
      <c r="R420" t="str">
        <f t="shared" si="41"/>
        <v>profit</v>
      </c>
    </row>
    <row r="421" spans="1:18" ht="15.75" customHeight="1" x14ac:dyDescent="0.4">
      <c r="A421" s="1" t="s">
        <v>865</v>
      </c>
      <c r="B421" s="2">
        <v>45089</v>
      </c>
      <c r="C421" s="2">
        <v>45098</v>
      </c>
      <c r="D421" s="2" t="str">
        <f t="shared" si="39"/>
        <v>2023</v>
      </c>
      <c r="E421" s="2" t="str">
        <f t="shared" si="36"/>
        <v>June</v>
      </c>
      <c r="F421" s="2" t="str">
        <f t="shared" si="40"/>
        <v>Q3</v>
      </c>
      <c r="G421" s="13">
        <f t="shared" si="37"/>
        <v>9</v>
      </c>
      <c r="H421" s="12" t="s">
        <v>42</v>
      </c>
      <c r="I421" s="1" t="s">
        <v>24</v>
      </c>
      <c r="J421" s="1" t="s">
        <v>14</v>
      </c>
      <c r="K421" s="1" t="s">
        <v>54</v>
      </c>
      <c r="L421" s="1" t="s">
        <v>496</v>
      </c>
      <c r="M421" s="10">
        <v>506.57</v>
      </c>
      <c r="N421" s="8">
        <v>5</v>
      </c>
      <c r="O421" s="6">
        <v>0.32</v>
      </c>
      <c r="P421" s="10">
        <v>330.54</v>
      </c>
      <c r="Q421" s="11">
        <f t="shared" si="38"/>
        <v>176.02999999999997</v>
      </c>
      <c r="R421" t="str">
        <f t="shared" si="41"/>
        <v>profit</v>
      </c>
    </row>
    <row r="422" spans="1:18" ht="15.75" customHeight="1" x14ac:dyDescent="0.4">
      <c r="A422" s="1" t="s">
        <v>866</v>
      </c>
      <c r="B422" s="2">
        <v>45484</v>
      </c>
      <c r="C422" s="2">
        <v>45491</v>
      </c>
      <c r="D422" s="2" t="str">
        <f t="shared" si="39"/>
        <v>2024</v>
      </c>
      <c r="E422" s="2" t="str">
        <f t="shared" si="36"/>
        <v>July</v>
      </c>
      <c r="F422" s="2" t="str">
        <f t="shared" si="40"/>
        <v>Q3</v>
      </c>
      <c r="G422" s="13">
        <f t="shared" si="37"/>
        <v>7</v>
      </c>
      <c r="H422" s="12" t="s">
        <v>42</v>
      </c>
      <c r="I422" s="1" t="s">
        <v>50</v>
      </c>
      <c r="J422" s="1" t="s">
        <v>19</v>
      </c>
      <c r="K422" s="1" t="s">
        <v>20</v>
      </c>
      <c r="L422" s="1" t="s">
        <v>867</v>
      </c>
      <c r="M422" s="10">
        <v>748.68</v>
      </c>
      <c r="N422" s="8">
        <v>4</v>
      </c>
      <c r="O422" s="6">
        <v>0.27</v>
      </c>
      <c r="P422" s="10">
        <v>506.59</v>
      </c>
      <c r="Q422" s="11">
        <f t="shared" si="38"/>
        <v>242.08999999999997</v>
      </c>
      <c r="R422" t="str">
        <f t="shared" si="41"/>
        <v>profit</v>
      </c>
    </row>
    <row r="423" spans="1:18" ht="15.75" customHeight="1" x14ac:dyDescent="0.4">
      <c r="A423" s="1" t="s">
        <v>868</v>
      </c>
      <c r="B423" s="2">
        <v>45574</v>
      </c>
      <c r="C423" s="2">
        <v>45581</v>
      </c>
      <c r="D423" s="2" t="str">
        <f t="shared" si="39"/>
        <v>2024</v>
      </c>
      <c r="E423" s="2" t="str">
        <f t="shared" si="36"/>
        <v>October</v>
      </c>
      <c r="F423" s="2" t="str">
        <f t="shared" si="40"/>
        <v>Q4</v>
      </c>
      <c r="G423" s="13">
        <f t="shared" si="37"/>
        <v>7</v>
      </c>
      <c r="H423" s="12" t="s">
        <v>1987</v>
      </c>
      <c r="I423" s="1" t="s">
        <v>24</v>
      </c>
      <c r="J423" s="1" t="s">
        <v>14</v>
      </c>
      <c r="K423" s="1" t="s">
        <v>15</v>
      </c>
      <c r="L423" s="1" t="s">
        <v>869</v>
      </c>
      <c r="M423" s="10">
        <v>443.85</v>
      </c>
      <c r="N423" s="8">
        <v>6</v>
      </c>
      <c r="O423" s="6">
        <v>0.38</v>
      </c>
      <c r="P423" s="10">
        <v>254.47</v>
      </c>
      <c r="Q423" s="11">
        <f t="shared" si="38"/>
        <v>189.38000000000002</v>
      </c>
      <c r="R423" t="str">
        <f t="shared" si="41"/>
        <v>profit</v>
      </c>
    </row>
    <row r="424" spans="1:18" ht="15.75" customHeight="1" x14ac:dyDescent="0.4">
      <c r="A424" s="1" t="s">
        <v>870</v>
      </c>
      <c r="B424" s="2">
        <v>45154</v>
      </c>
      <c r="C424" s="2">
        <v>45155</v>
      </c>
      <c r="D424" s="2" t="str">
        <f t="shared" si="39"/>
        <v>2023</v>
      </c>
      <c r="E424" s="2" t="str">
        <f t="shared" si="36"/>
        <v>August</v>
      </c>
      <c r="F424" s="2" t="str">
        <f t="shared" si="40"/>
        <v>Q3</v>
      </c>
      <c r="G424" s="13">
        <f t="shared" si="37"/>
        <v>1</v>
      </c>
      <c r="H424" s="12" t="s">
        <v>42</v>
      </c>
      <c r="I424" s="1" t="s">
        <v>13</v>
      </c>
      <c r="J424" s="1" t="s">
        <v>19</v>
      </c>
      <c r="K424" s="1" t="s">
        <v>35</v>
      </c>
      <c r="L424" s="1" t="s">
        <v>871</v>
      </c>
      <c r="M424" s="10">
        <v>299.24</v>
      </c>
      <c r="N424" s="8">
        <v>8</v>
      </c>
      <c r="O424" s="6">
        <v>0.4</v>
      </c>
      <c r="P424" s="10">
        <v>150.99</v>
      </c>
      <c r="Q424" s="11">
        <f t="shared" si="38"/>
        <v>148.25</v>
      </c>
      <c r="R424" t="str">
        <f t="shared" si="41"/>
        <v>profit</v>
      </c>
    </row>
    <row r="425" spans="1:18" ht="15.75" customHeight="1" x14ac:dyDescent="0.4">
      <c r="A425" s="1" t="s">
        <v>872</v>
      </c>
      <c r="B425" s="2">
        <v>45480</v>
      </c>
      <c r="C425" s="2">
        <v>45489</v>
      </c>
      <c r="D425" s="2" t="str">
        <f t="shared" si="39"/>
        <v>2024</v>
      </c>
      <c r="E425" s="2" t="str">
        <f t="shared" si="36"/>
        <v>July</v>
      </c>
      <c r="F425" s="2" t="str">
        <f t="shared" si="40"/>
        <v>Q3</v>
      </c>
      <c r="G425" s="13">
        <f t="shared" si="37"/>
        <v>9</v>
      </c>
      <c r="H425" s="12" t="s">
        <v>23</v>
      </c>
      <c r="I425" s="1" t="s">
        <v>13</v>
      </c>
      <c r="J425" s="1" t="s">
        <v>25</v>
      </c>
      <c r="K425" s="1" t="s">
        <v>43</v>
      </c>
      <c r="L425" s="1" t="s">
        <v>873</v>
      </c>
      <c r="M425" s="10">
        <v>582.74</v>
      </c>
      <c r="N425" s="8">
        <v>2</v>
      </c>
      <c r="O425" s="6">
        <v>0.36</v>
      </c>
      <c r="P425" s="10">
        <v>329.97</v>
      </c>
      <c r="Q425" s="11">
        <f t="shared" si="38"/>
        <v>252.76999999999998</v>
      </c>
      <c r="R425" t="str">
        <f t="shared" si="41"/>
        <v>profit</v>
      </c>
    </row>
    <row r="426" spans="1:18" ht="15.75" customHeight="1" x14ac:dyDescent="0.4">
      <c r="A426" s="1" t="s">
        <v>874</v>
      </c>
      <c r="B426" s="2">
        <v>45189</v>
      </c>
      <c r="C426" s="2">
        <v>45198</v>
      </c>
      <c r="D426" s="2" t="str">
        <f t="shared" si="39"/>
        <v>2023</v>
      </c>
      <c r="E426" s="2" t="str">
        <f t="shared" si="36"/>
        <v>September</v>
      </c>
      <c r="F426" s="2" t="str">
        <f t="shared" si="40"/>
        <v>Q4</v>
      </c>
      <c r="G426" s="13">
        <f t="shared" si="37"/>
        <v>9</v>
      </c>
      <c r="H426" s="12" t="s">
        <v>1987</v>
      </c>
      <c r="I426" s="1" t="s">
        <v>13</v>
      </c>
      <c r="J426" s="1" t="s">
        <v>19</v>
      </c>
      <c r="K426" s="1" t="s">
        <v>92</v>
      </c>
      <c r="L426" s="1" t="s">
        <v>875</v>
      </c>
      <c r="M426" s="10">
        <v>309.12</v>
      </c>
      <c r="N426" s="8">
        <v>2</v>
      </c>
      <c r="O426" s="6">
        <v>0.5</v>
      </c>
      <c r="P426" s="10">
        <v>126.21</v>
      </c>
      <c r="Q426" s="11">
        <f t="shared" si="38"/>
        <v>182.91000000000003</v>
      </c>
      <c r="R426" t="str">
        <f t="shared" si="41"/>
        <v>profit</v>
      </c>
    </row>
    <row r="427" spans="1:18" ht="15.75" customHeight="1" x14ac:dyDescent="0.4">
      <c r="A427" s="1" t="s">
        <v>876</v>
      </c>
      <c r="B427" s="2">
        <v>45476</v>
      </c>
      <c r="C427" s="2">
        <v>45482</v>
      </c>
      <c r="D427" s="2" t="str">
        <f t="shared" si="39"/>
        <v>2024</v>
      </c>
      <c r="E427" s="2" t="str">
        <f t="shared" si="36"/>
        <v>July</v>
      </c>
      <c r="F427" s="2" t="str">
        <f t="shared" si="40"/>
        <v>Q3</v>
      </c>
      <c r="G427" s="13">
        <f t="shared" si="37"/>
        <v>6</v>
      </c>
      <c r="H427" s="12" t="s">
        <v>42</v>
      </c>
      <c r="I427" s="1" t="s">
        <v>59</v>
      </c>
      <c r="J427" s="1" t="s">
        <v>19</v>
      </c>
      <c r="K427" s="1" t="s">
        <v>20</v>
      </c>
      <c r="L427" s="1" t="s">
        <v>877</v>
      </c>
      <c r="M427" s="10">
        <v>647.28</v>
      </c>
      <c r="N427" s="8">
        <v>3</v>
      </c>
      <c r="O427" s="6">
        <v>0.2</v>
      </c>
      <c r="P427" s="10">
        <v>480.51</v>
      </c>
      <c r="Q427" s="11">
        <f t="shared" si="38"/>
        <v>166.76999999999998</v>
      </c>
      <c r="R427" t="str">
        <f t="shared" si="41"/>
        <v>profit</v>
      </c>
    </row>
    <row r="428" spans="1:18" ht="15.75" customHeight="1" x14ac:dyDescent="0.4">
      <c r="A428" s="1" t="s">
        <v>878</v>
      </c>
      <c r="B428" s="2">
        <v>44962</v>
      </c>
      <c r="C428" s="2">
        <v>44966</v>
      </c>
      <c r="D428" s="2" t="str">
        <f t="shared" si="39"/>
        <v>2023</v>
      </c>
      <c r="E428" s="2" t="str">
        <f t="shared" si="36"/>
        <v>February</v>
      </c>
      <c r="F428" s="2" t="str">
        <f t="shared" si="40"/>
        <v>Q1</v>
      </c>
      <c r="G428" s="13">
        <f t="shared" si="37"/>
        <v>4</v>
      </c>
      <c r="H428" s="12" t="s">
        <v>23</v>
      </c>
      <c r="I428" s="1" t="s">
        <v>46</v>
      </c>
      <c r="J428" s="1" t="s">
        <v>25</v>
      </c>
      <c r="K428" s="1" t="s">
        <v>43</v>
      </c>
      <c r="L428" s="1" t="s">
        <v>879</v>
      </c>
      <c r="M428" s="10">
        <v>533.51</v>
      </c>
      <c r="N428" s="8">
        <v>8</v>
      </c>
      <c r="O428" s="6">
        <v>0.39</v>
      </c>
      <c r="P428" s="10">
        <v>280.3</v>
      </c>
      <c r="Q428" s="11">
        <f t="shared" si="38"/>
        <v>253.20999999999998</v>
      </c>
      <c r="R428" t="str">
        <f t="shared" si="41"/>
        <v>profit</v>
      </c>
    </row>
    <row r="429" spans="1:18" ht="15.75" customHeight="1" x14ac:dyDescent="0.4">
      <c r="A429" s="1" t="s">
        <v>880</v>
      </c>
      <c r="B429" s="2">
        <v>45255</v>
      </c>
      <c r="C429" s="2">
        <v>45261</v>
      </c>
      <c r="D429" s="2" t="str">
        <f t="shared" si="39"/>
        <v>2023</v>
      </c>
      <c r="E429" s="2" t="str">
        <f t="shared" si="36"/>
        <v>December</v>
      </c>
      <c r="F429" s="2" t="str">
        <f t="shared" si="40"/>
        <v>Q4</v>
      </c>
      <c r="G429" s="13">
        <f t="shared" si="37"/>
        <v>6</v>
      </c>
      <c r="H429" s="12" t="s">
        <v>42</v>
      </c>
      <c r="I429" s="1" t="s">
        <v>29</v>
      </c>
      <c r="J429" s="1" t="s">
        <v>25</v>
      </c>
      <c r="K429" s="1" t="s">
        <v>47</v>
      </c>
      <c r="L429" s="1" t="s">
        <v>881</v>
      </c>
      <c r="M429" s="10">
        <v>66.17</v>
      </c>
      <c r="N429" s="8">
        <v>7</v>
      </c>
      <c r="O429" s="6">
        <v>0.35</v>
      </c>
      <c r="P429" s="10">
        <v>23.97</v>
      </c>
      <c r="Q429" s="11">
        <f t="shared" si="38"/>
        <v>42.2</v>
      </c>
      <c r="R429" t="str">
        <f t="shared" si="41"/>
        <v>profit</v>
      </c>
    </row>
    <row r="430" spans="1:18" ht="15.75" customHeight="1" x14ac:dyDescent="0.4">
      <c r="A430" s="1" t="s">
        <v>882</v>
      </c>
      <c r="B430" s="2">
        <v>45523</v>
      </c>
      <c r="C430" s="2">
        <v>45526</v>
      </c>
      <c r="D430" s="2" t="str">
        <f t="shared" si="39"/>
        <v>2024</v>
      </c>
      <c r="E430" s="2" t="str">
        <f t="shared" si="36"/>
        <v>August</v>
      </c>
      <c r="F430" s="2" t="str">
        <f t="shared" si="40"/>
        <v>Q3</v>
      </c>
      <c r="G430" s="13">
        <f t="shared" si="37"/>
        <v>3</v>
      </c>
      <c r="H430" s="12" t="s">
        <v>42</v>
      </c>
      <c r="I430" s="1" t="s">
        <v>24</v>
      </c>
      <c r="J430" s="1" t="s">
        <v>19</v>
      </c>
      <c r="K430" s="1" t="s">
        <v>20</v>
      </c>
      <c r="L430" s="1" t="s">
        <v>883</v>
      </c>
      <c r="M430" s="10">
        <v>89.38</v>
      </c>
      <c r="N430" s="8">
        <v>8</v>
      </c>
      <c r="O430" s="6">
        <v>0.06</v>
      </c>
      <c r="P430" s="10">
        <v>69.89</v>
      </c>
      <c r="Q430" s="11">
        <f t="shared" si="38"/>
        <v>19.489999999999995</v>
      </c>
      <c r="R430" t="str">
        <f t="shared" si="41"/>
        <v>profit</v>
      </c>
    </row>
    <row r="431" spans="1:18" ht="15.75" customHeight="1" x14ac:dyDescent="0.4">
      <c r="A431" s="3" t="s">
        <v>884</v>
      </c>
      <c r="B431" s="2">
        <v>45356</v>
      </c>
      <c r="C431" s="2">
        <v>45364</v>
      </c>
      <c r="D431" s="2" t="str">
        <f t="shared" si="39"/>
        <v>2024</v>
      </c>
      <c r="E431" s="2" t="str">
        <f t="shared" si="36"/>
        <v>March</v>
      </c>
      <c r="F431" s="2" t="str">
        <f t="shared" si="40"/>
        <v>Q2</v>
      </c>
      <c r="G431" s="13">
        <f t="shared" si="37"/>
        <v>8</v>
      </c>
      <c r="H431" s="12" t="s">
        <v>42</v>
      </c>
      <c r="I431" s="1" t="s">
        <v>13</v>
      </c>
      <c r="J431" s="1" t="s">
        <v>14</v>
      </c>
      <c r="K431" s="1" t="s">
        <v>30</v>
      </c>
      <c r="L431" s="1" t="s">
        <v>307</v>
      </c>
      <c r="M431" s="10">
        <v>415.28</v>
      </c>
      <c r="N431" s="8">
        <v>3</v>
      </c>
      <c r="O431" s="6">
        <v>0.1</v>
      </c>
      <c r="P431" s="10">
        <v>330.62</v>
      </c>
      <c r="Q431" s="11">
        <f t="shared" si="38"/>
        <v>84.659999999999968</v>
      </c>
      <c r="R431" t="str">
        <f t="shared" si="41"/>
        <v>profit</v>
      </c>
    </row>
    <row r="432" spans="1:18" ht="15.75" customHeight="1" x14ac:dyDescent="0.4">
      <c r="A432" s="1" t="s">
        <v>885</v>
      </c>
      <c r="B432" s="2">
        <v>45526</v>
      </c>
      <c r="C432" s="2">
        <v>45533</v>
      </c>
      <c r="D432" s="2" t="str">
        <f t="shared" si="39"/>
        <v>2024</v>
      </c>
      <c r="E432" s="2" t="str">
        <f t="shared" si="36"/>
        <v>August</v>
      </c>
      <c r="F432" s="2" t="str">
        <f t="shared" si="40"/>
        <v>Q3</v>
      </c>
      <c r="G432" s="13">
        <f t="shared" si="37"/>
        <v>7</v>
      </c>
      <c r="H432" s="12" t="s">
        <v>1987</v>
      </c>
      <c r="I432" s="1" t="s">
        <v>13</v>
      </c>
      <c r="J432" s="1" t="s">
        <v>14</v>
      </c>
      <c r="K432" s="1" t="s">
        <v>30</v>
      </c>
      <c r="L432" s="1" t="s">
        <v>886</v>
      </c>
      <c r="M432" s="10">
        <v>348.69</v>
      </c>
      <c r="N432" s="8">
        <v>6</v>
      </c>
      <c r="O432" s="6">
        <v>0.01</v>
      </c>
      <c r="P432" s="10">
        <v>329.61</v>
      </c>
      <c r="Q432" s="11">
        <f t="shared" si="38"/>
        <v>19.079999999999984</v>
      </c>
      <c r="R432" t="str">
        <f t="shared" si="41"/>
        <v>profit</v>
      </c>
    </row>
    <row r="433" spans="1:18" ht="15.75" customHeight="1" x14ac:dyDescent="0.4">
      <c r="A433" s="1" t="s">
        <v>887</v>
      </c>
      <c r="B433" s="2">
        <v>45432</v>
      </c>
      <c r="C433" s="2">
        <v>45433</v>
      </c>
      <c r="D433" s="2" t="str">
        <f t="shared" si="39"/>
        <v>2024</v>
      </c>
      <c r="E433" s="2" t="str">
        <f t="shared" si="36"/>
        <v>May</v>
      </c>
      <c r="F433" s="2" t="str">
        <f t="shared" si="40"/>
        <v>Q2</v>
      </c>
      <c r="G433" s="13">
        <f t="shared" si="37"/>
        <v>1</v>
      </c>
      <c r="H433" s="12" t="s">
        <v>23</v>
      </c>
      <c r="I433" s="1" t="s">
        <v>18</v>
      </c>
      <c r="J433" s="1" t="s">
        <v>14</v>
      </c>
      <c r="K433" s="1" t="s">
        <v>30</v>
      </c>
      <c r="L433" s="1" t="s">
        <v>888</v>
      </c>
      <c r="M433" s="10">
        <v>624.94000000000005</v>
      </c>
      <c r="N433" s="8">
        <v>7</v>
      </c>
      <c r="O433" s="6">
        <v>0.4</v>
      </c>
      <c r="P433" s="10">
        <v>356.31</v>
      </c>
      <c r="Q433" s="11">
        <f t="shared" si="38"/>
        <v>268.63000000000005</v>
      </c>
      <c r="R433" t="str">
        <f t="shared" si="41"/>
        <v>profit</v>
      </c>
    </row>
    <row r="434" spans="1:18" ht="15.75" customHeight="1" x14ac:dyDescent="0.4">
      <c r="A434" s="1" t="s">
        <v>889</v>
      </c>
      <c r="B434" s="2">
        <v>44939</v>
      </c>
      <c r="C434" s="2">
        <v>44945</v>
      </c>
      <c r="D434" s="2" t="str">
        <f t="shared" si="39"/>
        <v>2023</v>
      </c>
      <c r="E434" s="2" t="str">
        <f t="shared" si="36"/>
        <v>January</v>
      </c>
      <c r="F434" s="2" t="str">
        <f t="shared" si="40"/>
        <v>Q1</v>
      </c>
      <c r="G434" s="13">
        <f t="shared" si="37"/>
        <v>6</v>
      </c>
      <c r="H434" s="12" t="s">
        <v>23</v>
      </c>
      <c r="I434" s="1" t="s">
        <v>59</v>
      </c>
      <c r="J434" s="1" t="s">
        <v>14</v>
      </c>
      <c r="K434" s="1" t="s">
        <v>30</v>
      </c>
      <c r="L434" s="1" t="s">
        <v>890</v>
      </c>
      <c r="M434" s="10">
        <v>251.05</v>
      </c>
      <c r="N434" s="8">
        <v>5</v>
      </c>
      <c r="O434" s="6">
        <v>0.4</v>
      </c>
      <c r="P434" s="10">
        <v>129.84</v>
      </c>
      <c r="Q434" s="11">
        <f t="shared" si="38"/>
        <v>121.21000000000001</v>
      </c>
      <c r="R434" t="str">
        <f t="shared" si="41"/>
        <v>profit</v>
      </c>
    </row>
    <row r="435" spans="1:18" ht="15.75" customHeight="1" x14ac:dyDescent="0.4">
      <c r="A435" s="1" t="s">
        <v>891</v>
      </c>
      <c r="B435" s="2">
        <v>45263</v>
      </c>
      <c r="C435" s="2">
        <v>45265</v>
      </c>
      <c r="D435" s="2" t="str">
        <f t="shared" si="39"/>
        <v>2023</v>
      </c>
      <c r="E435" s="2" t="str">
        <f t="shared" si="36"/>
        <v>December</v>
      </c>
      <c r="F435" s="2" t="str">
        <f t="shared" si="40"/>
        <v>Q4</v>
      </c>
      <c r="G435" s="13">
        <f t="shared" si="37"/>
        <v>2</v>
      </c>
      <c r="H435" s="12" t="s">
        <v>1987</v>
      </c>
      <c r="I435" s="1" t="s">
        <v>50</v>
      </c>
      <c r="J435" s="1" t="s">
        <v>14</v>
      </c>
      <c r="K435" s="1" t="s">
        <v>30</v>
      </c>
      <c r="L435" s="1" t="s">
        <v>892</v>
      </c>
      <c r="M435" s="10">
        <v>57.01</v>
      </c>
      <c r="N435" s="8">
        <v>4</v>
      </c>
      <c r="O435" s="6">
        <v>0.33</v>
      </c>
      <c r="P435" s="10">
        <v>22.75</v>
      </c>
      <c r="Q435" s="11">
        <f t="shared" si="38"/>
        <v>34.26</v>
      </c>
      <c r="R435" t="str">
        <f t="shared" si="41"/>
        <v>profit</v>
      </c>
    </row>
    <row r="436" spans="1:18" ht="15.75" customHeight="1" x14ac:dyDescent="0.4">
      <c r="A436" s="1" t="s">
        <v>893</v>
      </c>
      <c r="B436" s="2">
        <v>45365</v>
      </c>
      <c r="C436" s="2">
        <v>45368</v>
      </c>
      <c r="D436" s="2" t="str">
        <f t="shared" si="39"/>
        <v>2024</v>
      </c>
      <c r="E436" s="2" t="str">
        <f t="shared" si="36"/>
        <v>March</v>
      </c>
      <c r="F436" s="2" t="str">
        <f t="shared" si="40"/>
        <v>Q2</v>
      </c>
      <c r="G436" s="13">
        <f t="shared" si="37"/>
        <v>3</v>
      </c>
      <c r="H436" s="12" t="s">
        <v>23</v>
      </c>
      <c r="I436" s="1" t="s">
        <v>46</v>
      </c>
      <c r="J436" s="1" t="s">
        <v>25</v>
      </c>
      <c r="K436" s="1" t="s">
        <v>43</v>
      </c>
      <c r="L436" s="1" t="s">
        <v>894</v>
      </c>
      <c r="M436" s="10">
        <v>656</v>
      </c>
      <c r="N436" s="8">
        <v>6</v>
      </c>
      <c r="O436" s="6">
        <v>0.44</v>
      </c>
      <c r="P436" s="10">
        <v>345.2</v>
      </c>
      <c r="Q436" s="11">
        <f t="shared" si="38"/>
        <v>310.8</v>
      </c>
      <c r="R436" t="str">
        <f t="shared" si="41"/>
        <v>profit</v>
      </c>
    </row>
    <row r="437" spans="1:18" ht="15.75" customHeight="1" x14ac:dyDescent="0.4">
      <c r="A437" s="1" t="s">
        <v>895</v>
      </c>
      <c r="B437" s="2">
        <v>45008</v>
      </c>
      <c r="C437" s="2">
        <v>45013</v>
      </c>
      <c r="D437" s="2" t="str">
        <f t="shared" si="39"/>
        <v>2023</v>
      </c>
      <c r="E437" s="2" t="str">
        <f t="shared" si="36"/>
        <v>March</v>
      </c>
      <c r="F437" s="2" t="str">
        <f t="shared" si="40"/>
        <v>Q2</v>
      </c>
      <c r="G437" s="13">
        <f t="shared" si="37"/>
        <v>5</v>
      </c>
      <c r="H437" s="12" t="s">
        <v>1987</v>
      </c>
      <c r="I437" s="1" t="s">
        <v>29</v>
      </c>
      <c r="J437" s="1" t="s">
        <v>25</v>
      </c>
      <c r="K437" s="1" t="s">
        <v>43</v>
      </c>
      <c r="L437" s="1" t="s">
        <v>896</v>
      </c>
      <c r="M437" s="10">
        <v>893.25</v>
      </c>
      <c r="N437" s="8">
        <v>6</v>
      </c>
      <c r="O437" s="6">
        <v>0.44</v>
      </c>
      <c r="P437" s="10">
        <v>470.26</v>
      </c>
      <c r="Q437" s="11">
        <f t="shared" si="38"/>
        <v>422.99</v>
      </c>
      <c r="R437" t="str">
        <f t="shared" si="41"/>
        <v>profit</v>
      </c>
    </row>
    <row r="438" spans="1:18" ht="15.75" customHeight="1" x14ac:dyDescent="0.4">
      <c r="A438" s="1" t="s">
        <v>897</v>
      </c>
      <c r="B438" s="2">
        <v>44955</v>
      </c>
      <c r="C438" s="2">
        <v>44959</v>
      </c>
      <c r="D438" s="2" t="str">
        <f t="shared" si="39"/>
        <v>2023</v>
      </c>
      <c r="E438" s="2" t="str">
        <f t="shared" si="36"/>
        <v>February</v>
      </c>
      <c r="F438" s="2" t="str">
        <f t="shared" si="40"/>
        <v>Q1</v>
      </c>
      <c r="G438" s="13">
        <f t="shared" si="37"/>
        <v>4</v>
      </c>
      <c r="H438" s="12" t="s">
        <v>1987</v>
      </c>
      <c r="I438" s="1" t="s">
        <v>46</v>
      </c>
      <c r="J438" s="1" t="s">
        <v>19</v>
      </c>
      <c r="K438" s="1" t="s">
        <v>20</v>
      </c>
      <c r="L438" s="1" t="s">
        <v>898</v>
      </c>
      <c r="M438" s="10">
        <v>277.42</v>
      </c>
      <c r="N438" s="8">
        <v>8</v>
      </c>
      <c r="O438" s="6">
        <v>0.28000000000000003</v>
      </c>
      <c r="P438" s="10">
        <v>189.05</v>
      </c>
      <c r="Q438" s="11">
        <f t="shared" si="38"/>
        <v>88.37</v>
      </c>
      <c r="R438" t="str">
        <f t="shared" si="41"/>
        <v>profit</v>
      </c>
    </row>
    <row r="439" spans="1:18" ht="15.75" customHeight="1" x14ac:dyDescent="0.4">
      <c r="A439" s="1" t="s">
        <v>899</v>
      </c>
      <c r="C439" s="2">
        <v>45546</v>
      </c>
      <c r="D439" s="2" t="str">
        <f t="shared" si="39"/>
        <v/>
      </c>
      <c r="E439" s="2" t="str">
        <f t="shared" si="36"/>
        <v>September</v>
      </c>
      <c r="F439" s="2" t="str">
        <f t="shared" si="40"/>
        <v>Q4</v>
      </c>
      <c r="G439" s="13">
        <f t="shared" si="37"/>
        <v>45546</v>
      </c>
      <c r="H439" s="12" t="s">
        <v>1988</v>
      </c>
      <c r="I439" s="1" t="s">
        <v>46</v>
      </c>
      <c r="J439" s="1" t="s">
        <v>14</v>
      </c>
      <c r="K439" s="1" t="s">
        <v>54</v>
      </c>
      <c r="L439" s="1" t="s">
        <v>900</v>
      </c>
      <c r="M439" s="11" t="s">
        <v>1989</v>
      </c>
      <c r="N439" s="8">
        <v>6</v>
      </c>
      <c r="O439" s="6">
        <v>0.18</v>
      </c>
      <c r="P439" s="10">
        <v>57.11</v>
      </c>
      <c r="Q439" s="11" t="e">
        <f t="shared" si="38"/>
        <v>#VALUE!</v>
      </c>
      <c r="R439" t="str">
        <f t="shared" si="41"/>
        <v>profit</v>
      </c>
    </row>
    <row r="440" spans="1:18" ht="15.75" customHeight="1" x14ac:dyDescent="0.4">
      <c r="A440" s="1" t="s">
        <v>901</v>
      </c>
      <c r="B440" s="2">
        <v>45556</v>
      </c>
      <c r="C440" s="2">
        <v>45565</v>
      </c>
      <c r="D440" s="2" t="str">
        <f t="shared" si="39"/>
        <v>2024</v>
      </c>
      <c r="E440" s="2" t="str">
        <f t="shared" si="36"/>
        <v>September</v>
      </c>
      <c r="F440" s="2" t="str">
        <f t="shared" si="40"/>
        <v>Q4</v>
      </c>
      <c r="G440" s="13">
        <f t="shared" si="37"/>
        <v>9</v>
      </c>
      <c r="H440" s="12" t="s">
        <v>42</v>
      </c>
      <c r="I440" s="1" t="s">
        <v>13</v>
      </c>
      <c r="J440" s="1" t="s">
        <v>14</v>
      </c>
      <c r="K440" s="1" t="s">
        <v>54</v>
      </c>
      <c r="L440" s="1" t="s">
        <v>902</v>
      </c>
      <c r="M440" s="10">
        <v>355.83</v>
      </c>
      <c r="N440" s="8">
        <v>5</v>
      </c>
      <c r="O440" s="6">
        <v>0.18</v>
      </c>
      <c r="P440" s="10">
        <v>280.35000000000002</v>
      </c>
      <c r="Q440" s="11">
        <f t="shared" si="38"/>
        <v>75.479999999999961</v>
      </c>
      <c r="R440" t="str">
        <f t="shared" si="41"/>
        <v>profit</v>
      </c>
    </row>
    <row r="441" spans="1:18" ht="15.75" customHeight="1" x14ac:dyDescent="0.4">
      <c r="A441" s="1" t="s">
        <v>903</v>
      </c>
      <c r="B441" s="2">
        <v>45017</v>
      </c>
      <c r="C441" s="2">
        <v>45023</v>
      </c>
      <c r="D441" s="2" t="str">
        <f t="shared" si="39"/>
        <v>2023</v>
      </c>
      <c r="E441" s="2" t="str">
        <f t="shared" si="36"/>
        <v>April</v>
      </c>
      <c r="F441" s="2" t="str">
        <f t="shared" si="40"/>
        <v>Q2</v>
      </c>
      <c r="G441" s="13">
        <f t="shared" si="37"/>
        <v>6</v>
      </c>
      <c r="H441" s="12" t="s">
        <v>23</v>
      </c>
      <c r="I441" s="1" t="s">
        <v>18</v>
      </c>
      <c r="J441" s="1" t="s">
        <v>19</v>
      </c>
      <c r="K441" s="1" t="s">
        <v>20</v>
      </c>
      <c r="L441" s="1" t="s">
        <v>904</v>
      </c>
      <c r="M441" s="10">
        <v>180.57</v>
      </c>
      <c r="N441" s="8">
        <v>4</v>
      </c>
      <c r="O441" s="6">
        <v>0.31</v>
      </c>
      <c r="P441" s="10">
        <v>93.99</v>
      </c>
      <c r="Q441" s="11">
        <f t="shared" si="38"/>
        <v>86.58</v>
      </c>
      <c r="R441" t="str">
        <f t="shared" si="41"/>
        <v>profit</v>
      </c>
    </row>
    <row r="442" spans="1:18" ht="15.75" customHeight="1" x14ac:dyDescent="0.4">
      <c r="A442" s="1" t="s">
        <v>905</v>
      </c>
      <c r="B442" s="2">
        <v>45540</v>
      </c>
      <c r="C442" s="2">
        <v>45545</v>
      </c>
      <c r="D442" s="2" t="str">
        <f t="shared" si="39"/>
        <v>2024</v>
      </c>
      <c r="E442" s="2" t="str">
        <f t="shared" si="36"/>
        <v>September</v>
      </c>
      <c r="F442" s="2" t="str">
        <f t="shared" si="40"/>
        <v>Q4</v>
      </c>
      <c r="G442" s="13">
        <f t="shared" si="37"/>
        <v>5</v>
      </c>
      <c r="H442" s="12" t="s">
        <v>1987</v>
      </c>
      <c r="I442" s="1" t="s">
        <v>18</v>
      </c>
      <c r="J442" s="1" t="s">
        <v>14</v>
      </c>
      <c r="K442" s="1" t="s">
        <v>15</v>
      </c>
      <c r="L442" s="1" t="s">
        <v>906</v>
      </c>
      <c r="M442" s="10">
        <v>312.86</v>
      </c>
      <c r="N442" s="8">
        <v>5</v>
      </c>
      <c r="O442" s="6">
        <v>0.37</v>
      </c>
      <c r="P442" s="10">
        <v>162.38</v>
      </c>
      <c r="Q442" s="11">
        <f t="shared" si="38"/>
        <v>150.48000000000002</v>
      </c>
      <c r="R442" t="str">
        <f t="shared" si="41"/>
        <v>profit</v>
      </c>
    </row>
    <row r="443" spans="1:18" ht="15.75" customHeight="1" x14ac:dyDescent="0.4">
      <c r="A443" s="1" t="s">
        <v>907</v>
      </c>
      <c r="B443" s="2">
        <v>45051</v>
      </c>
      <c r="C443" s="2">
        <v>45057</v>
      </c>
      <c r="D443" s="2" t="str">
        <f t="shared" si="39"/>
        <v>2023</v>
      </c>
      <c r="E443" s="2" t="str">
        <f t="shared" si="36"/>
        <v>May</v>
      </c>
      <c r="F443" s="2" t="str">
        <f t="shared" si="40"/>
        <v>Q2</v>
      </c>
      <c r="G443" s="13">
        <f t="shared" si="37"/>
        <v>6</v>
      </c>
      <c r="H443" s="12" t="s">
        <v>42</v>
      </c>
      <c r="I443" s="1" t="s">
        <v>29</v>
      </c>
      <c r="J443" s="1" t="s">
        <v>25</v>
      </c>
      <c r="K443" s="1" t="s">
        <v>26</v>
      </c>
      <c r="L443" s="1" t="s">
        <v>908</v>
      </c>
      <c r="M443" s="10">
        <v>151.72999999999999</v>
      </c>
      <c r="N443" s="8">
        <v>1</v>
      </c>
      <c r="O443" s="6">
        <v>0.43</v>
      </c>
      <c r="P443" s="10">
        <v>52.26</v>
      </c>
      <c r="Q443" s="11">
        <f t="shared" si="38"/>
        <v>99.47</v>
      </c>
      <c r="R443" t="str">
        <f t="shared" si="41"/>
        <v>profit</v>
      </c>
    </row>
    <row r="444" spans="1:18" ht="15.75" customHeight="1" x14ac:dyDescent="0.4">
      <c r="A444" s="1" t="s">
        <v>909</v>
      </c>
      <c r="B444" s="2">
        <v>45026</v>
      </c>
      <c r="C444" s="2">
        <v>45027</v>
      </c>
      <c r="D444" s="2" t="str">
        <f t="shared" si="39"/>
        <v>2023</v>
      </c>
      <c r="E444" s="2" t="str">
        <f t="shared" si="36"/>
        <v>April</v>
      </c>
      <c r="F444" s="2" t="str">
        <f t="shared" si="40"/>
        <v>Q2</v>
      </c>
      <c r="G444" s="13">
        <f t="shared" si="37"/>
        <v>1</v>
      </c>
      <c r="H444" s="12" t="s">
        <v>23</v>
      </c>
      <c r="I444" s="1" t="s">
        <v>18</v>
      </c>
      <c r="J444" s="1" t="s">
        <v>25</v>
      </c>
      <c r="K444" s="1" t="s">
        <v>47</v>
      </c>
      <c r="L444" s="1" t="s">
        <v>910</v>
      </c>
      <c r="M444" s="10">
        <v>484.51</v>
      </c>
      <c r="N444" s="8">
        <v>5</v>
      </c>
      <c r="O444" s="6">
        <v>0.17</v>
      </c>
      <c r="P444" s="10">
        <v>383.24</v>
      </c>
      <c r="Q444" s="11">
        <f t="shared" si="38"/>
        <v>101.26999999999998</v>
      </c>
      <c r="R444" t="str">
        <f t="shared" si="41"/>
        <v>profit</v>
      </c>
    </row>
    <row r="445" spans="1:18" ht="15.75" customHeight="1" x14ac:dyDescent="0.4">
      <c r="A445" s="1" t="s">
        <v>911</v>
      </c>
      <c r="B445" s="2">
        <v>45580</v>
      </c>
      <c r="C445" s="2">
        <v>45584</v>
      </c>
      <c r="D445" s="2" t="str">
        <f t="shared" si="39"/>
        <v>2024</v>
      </c>
      <c r="E445" s="2" t="str">
        <f t="shared" si="36"/>
        <v>October</v>
      </c>
      <c r="F445" s="2" t="str">
        <f t="shared" si="40"/>
        <v>Q4</v>
      </c>
      <c r="G445" s="13">
        <f t="shared" si="37"/>
        <v>4</v>
      </c>
      <c r="H445" s="12" t="s">
        <v>23</v>
      </c>
      <c r="I445" s="1" t="s">
        <v>13</v>
      </c>
      <c r="J445" s="1" t="s">
        <v>14</v>
      </c>
      <c r="K445" s="1" t="s">
        <v>30</v>
      </c>
      <c r="L445" s="1" t="s">
        <v>912</v>
      </c>
      <c r="M445" s="10">
        <v>509.53</v>
      </c>
      <c r="N445" s="8">
        <v>6</v>
      </c>
      <c r="O445" s="6">
        <v>0.41</v>
      </c>
      <c r="P445" s="10">
        <v>278.57</v>
      </c>
      <c r="Q445" s="11">
        <f t="shared" si="38"/>
        <v>230.95999999999998</v>
      </c>
      <c r="R445" t="str">
        <f t="shared" si="41"/>
        <v>profit</v>
      </c>
    </row>
    <row r="446" spans="1:18" ht="15.75" customHeight="1" x14ac:dyDescent="0.4">
      <c r="A446" s="1" t="s">
        <v>913</v>
      </c>
      <c r="B446" s="2">
        <v>44942</v>
      </c>
      <c r="C446" s="2">
        <v>44943</v>
      </c>
      <c r="D446" s="2" t="str">
        <f t="shared" si="39"/>
        <v>2023</v>
      </c>
      <c r="E446" s="2" t="str">
        <f t="shared" si="36"/>
        <v>January</v>
      </c>
      <c r="F446" s="2" t="str">
        <f t="shared" si="40"/>
        <v>Q1</v>
      </c>
      <c r="G446" s="13">
        <f t="shared" si="37"/>
        <v>1</v>
      </c>
      <c r="H446" s="12" t="s">
        <v>23</v>
      </c>
      <c r="I446" s="1" t="s">
        <v>59</v>
      </c>
      <c r="J446" s="1" t="s">
        <v>19</v>
      </c>
      <c r="K446" s="1" t="s">
        <v>35</v>
      </c>
      <c r="L446" s="1" t="s">
        <v>914</v>
      </c>
      <c r="M446" s="10">
        <v>647.99</v>
      </c>
      <c r="N446" s="8">
        <v>3</v>
      </c>
      <c r="O446" s="6">
        <v>0.1</v>
      </c>
      <c r="P446" s="10">
        <v>545.64</v>
      </c>
      <c r="Q446" s="11">
        <f t="shared" si="38"/>
        <v>102.35000000000002</v>
      </c>
      <c r="R446" t="str">
        <f t="shared" si="41"/>
        <v>profit</v>
      </c>
    </row>
    <row r="447" spans="1:18" ht="15.75" customHeight="1" x14ac:dyDescent="0.4">
      <c r="A447" s="1" t="s">
        <v>915</v>
      </c>
      <c r="B447" s="2">
        <v>45320</v>
      </c>
      <c r="C447" s="2">
        <v>45325</v>
      </c>
      <c r="D447" s="2" t="str">
        <f t="shared" si="39"/>
        <v>2024</v>
      </c>
      <c r="E447" s="2" t="str">
        <f t="shared" si="36"/>
        <v>February</v>
      </c>
      <c r="F447" s="2" t="str">
        <f t="shared" si="40"/>
        <v>Q1</v>
      </c>
      <c r="G447" s="13">
        <f t="shared" si="37"/>
        <v>5</v>
      </c>
      <c r="H447" s="12" t="s">
        <v>42</v>
      </c>
      <c r="I447" s="1" t="s">
        <v>18</v>
      </c>
      <c r="J447" s="1" t="s">
        <v>19</v>
      </c>
      <c r="K447" s="1" t="s">
        <v>20</v>
      </c>
      <c r="L447" s="1" t="s">
        <v>916</v>
      </c>
      <c r="M447" s="10">
        <v>691.71</v>
      </c>
      <c r="N447" s="8">
        <v>8</v>
      </c>
      <c r="O447" s="6">
        <v>0.41</v>
      </c>
      <c r="P447" s="10">
        <v>358.64</v>
      </c>
      <c r="Q447" s="11">
        <f t="shared" si="38"/>
        <v>333.07000000000005</v>
      </c>
      <c r="R447" t="str">
        <f t="shared" si="41"/>
        <v>profit</v>
      </c>
    </row>
    <row r="448" spans="1:18" ht="15.75" customHeight="1" x14ac:dyDescent="0.4">
      <c r="A448" s="1" t="s">
        <v>917</v>
      </c>
      <c r="B448" s="2">
        <v>45100</v>
      </c>
      <c r="C448" s="2">
        <v>45106</v>
      </c>
      <c r="D448" s="2" t="str">
        <f t="shared" si="39"/>
        <v>2023</v>
      </c>
      <c r="E448" s="2" t="str">
        <f t="shared" si="36"/>
        <v>June</v>
      </c>
      <c r="F448" s="2" t="str">
        <f t="shared" si="40"/>
        <v>Q3</v>
      </c>
      <c r="G448" s="13">
        <f t="shared" si="37"/>
        <v>6</v>
      </c>
      <c r="H448" s="12" t="s">
        <v>42</v>
      </c>
      <c r="I448" s="1" t="s">
        <v>24</v>
      </c>
      <c r="J448" s="1" t="s">
        <v>14</v>
      </c>
      <c r="K448" s="1" t="s">
        <v>15</v>
      </c>
      <c r="L448" s="1" t="s">
        <v>918</v>
      </c>
      <c r="M448" s="10">
        <v>611.37</v>
      </c>
      <c r="N448" s="8">
        <v>1</v>
      </c>
      <c r="O448" s="6">
        <v>0.13</v>
      </c>
      <c r="P448" s="10">
        <v>517.91</v>
      </c>
      <c r="Q448" s="11">
        <f t="shared" si="38"/>
        <v>93.460000000000036</v>
      </c>
      <c r="R448" t="str">
        <f t="shared" si="41"/>
        <v>profit</v>
      </c>
    </row>
    <row r="449" spans="1:18" ht="15.75" customHeight="1" x14ac:dyDescent="0.4">
      <c r="A449" s="1" t="s">
        <v>919</v>
      </c>
      <c r="B449" s="2">
        <v>44914</v>
      </c>
      <c r="C449" s="2">
        <v>44914</v>
      </c>
      <c r="D449" s="2" t="str">
        <f t="shared" si="39"/>
        <v>2022</v>
      </c>
      <c r="E449" s="2" t="str">
        <f t="shared" si="36"/>
        <v>December</v>
      </c>
      <c r="F449" s="2" t="str">
        <f t="shared" si="40"/>
        <v>Q4</v>
      </c>
      <c r="G449" s="13">
        <f t="shared" si="37"/>
        <v>0</v>
      </c>
      <c r="H449" s="12" t="s">
        <v>23</v>
      </c>
      <c r="I449" s="1" t="s">
        <v>46</v>
      </c>
      <c r="J449" s="1" t="s">
        <v>25</v>
      </c>
      <c r="K449" s="1" t="s">
        <v>43</v>
      </c>
      <c r="L449" s="1" t="s">
        <v>920</v>
      </c>
      <c r="M449" s="10">
        <v>89.38</v>
      </c>
      <c r="N449" s="8">
        <v>7</v>
      </c>
      <c r="O449" s="6">
        <v>0.3</v>
      </c>
      <c r="P449" s="10">
        <v>50.14</v>
      </c>
      <c r="Q449" s="11">
        <f t="shared" si="38"/>
        <v>39.239999999999995</v>
      </c>
      <c r="R449" t="str">
        <f t="shared" si="41"/>
        <v>profit</v>
      </c>
    </row>
    <row r="450" spans="1:18" ht="15.75" customHeight="1" x14ac:dyDescent="0.4">
      <c r="A450" s="1" t="s">
        <v>921</v>
      </c>
      <c r="B450" s="2">
        <v>45075</v>
      </c>
      <c r="C450" s="2">
        <v>45081</v>
      </c>
      <c r="D450" s="2" t="str">
        <f t="shared" si="39"/>
        <v>2023</v>
      </c>
      <c r="E450" s="2" t="str">
        <f t="shared" ref="E450:E513" si="42">TEXT(C450, "MMMM")</f>
        <v>June</v>
      </c>
      <c r="F450" s="2" t="str">
        <f t="shared" si="40"/>
        <v>Q3</v>
      </c>
      <c r="G450" s="13">
        <f t="shared" ref="G450:G513" si="43">DATEDIF(B450,C450, "D")</f>
        <v>6</v>
      </c>
      <c r="H450" s="12" t="s">
        <v>1986</v>
      </c>
      <c r="I450" s="1" t="s">
        <v>46</v>
      </c>
      <c r="J450" s="1" t="s">
        <v>19</v>
      </c>
      <c r="K450" s="1" t="s">
        <v>92</v>
      </c>
      <c r="L450" s="1" t="s">
        <v>922</v>
      </c>
      <c r="M450" s="10">
        <v>132.26</v>
      </c>
      <c r="N450" s="8">
        <v>4</v>
      </c>
      <c r="O450" s="6">
        <v>0.46</v>
      </c>
      <c r="P450" s="10">
        <v>32.200000000000003</v>
      </c>
      <c r="Q450" s="11">
        <f t="shared" ref="Q450:Q513" si="44">M450 - P450</f>
        <v>100.05999999999999</v>
      </c>
      <c r="R450" t="str">
        <f t="shared" si="41"/>
        <v>profit</v>
      </c>
    </row>
    <row r="451" spans="1:18" ht="15.75" customHeight="1" x14ac:dyDescent="0.4">
      <c r="A451" s="1" t="s">
        <v>923</v>
      </c>
      <c r="B451" s="2">
        <v>45601</v>
      </c>
      <c r="C451" s="2">
        <v>45601</v>
      </c>
      <c r="D451" s="2" t="str">
        <f t="shared" ref="D451:D514" si="45">IF(B451="","",TEXT(B451,"YYYY"))</f>
        <v>2024</v>
      </c>
      <c r="E451" s="2" t="str">
        <f t="shared" si="42"/>
        <v>November</v>
      </c>
      <c r="F451" s="2" t="str">
        <f t="shared" ref="F451:F514" si="46">IF(MONTH(C451)&lt;3,"Q1",IF(MONTH(C451)&lt;6,"Q2",IF(MONTH(C451)&lt;9,"Q3","Q4")))</f>
        <v>Q4</v>
      </c>
      <c r="G451" s="13">
        <f t="shared" si="43"/>
        <v>0</v>
      </c>
      <c r="H451" s="12" t="s">
        <v>1986</v>
      </c>
      <c r="I451" s="1" t="s">
        <v>53</v>
      </c>
      <c r="J451" s="1" t="s">
        <v>25</v>
      </c>
      <c r="K451" s="1" t="s">
        <v>47</v>
      </c>
      <c r="L451" s="1" t="s">
        <v>924</v>
      </c>
      <c r="M451" s="10">
        <v>513.38</v>
      </c>
      <c r="N451" s="8">
        <v>5</v>
      </c>
      <c r="O451" s="6">
        <v>0.19</v>
      </c>
      <c r="P451" s="10">
        <v>374.67</v>
      </c>
      <c r="Q451" s="11">
        <f t="shared" si="44"/>
        <v>138.70999999999998</v>
      </c>
      <c r="R451" t="str">
        <f t="shared" si="41"/>
        <v>profit</v>
      </c>
    </row>
    <row r="452" spans="1:18" ht="15.75" customHeight="1" x14ac:dyDescent="0.4">
      <c r="A452" s="1" t="s">
        <v>925</v>
      </c>
      <c r="B452" s="2">
        <v>45605</v>
      </c>
      <c r="C452" s="2">
        <v>45610</v>
      </c>
      <c r="D452" s="2" t="str">
        <f t="shared" si="45"/>
        <v>2024</v>
      </c>
      <c r="E452" s="2" t="str">
        <f t="shared" si="42"/>
        <v>November</v>
      </c>
      <c r="F452" s="2" t="str">
        <f t="shared" si="46"/>
        <v>Q4</v>
      </c>
      <c r="G452" s="13">
        <f t="shared" si="43"/>
        <v>5</v>
      </c>
      <c r="H452" s="12" t="s">
        <v>1986</v>
      </c>
      <c r="I452" s="1" t="s">
        <v>46</v>
      </c>
      <c r="J452" s="1" t="s">
        <v>14</v>
      </c>
      <c r="K452" s="1" t="s">
        <v>54</v>
      </c>
      <c r="L452" s="1" t="s">
        <v>926</v>
      </c>
      <c r="M452" s="10">
        <v>901.35</v>
      </c>
      <c r="N452" s="8">
        <v>10</v>
      </c>
      <c r="O452" s="6">
        <v>0.27</v>
      </c>
      <c r="P452" s="10">
        <v>624.19000000000005</v>
      </c>
      <c r="Q452" s="11">
        <f t="shared" si="44"/>
        <v>277.15999999999997</v>
      </c>
      <c r="R452" t="str">
        <f t="shared" ref="R452:R515" si="47">IF(P452&gt;0,"profit","loss")</f>
        <v>profit</v>
      </c>
    </row>
    <row r="453" spans="1:18" ht="15.75" customHeight="1" x14ac:dyDescent="0.4">
      <c r="A453" s="1" t="s">
        <v>927</v>
      </c>
      <c r="B453" s="2">
        <v>45554</v>
      </c>
      <c r="C453" s="2">
        <v>45562</v>
      </c>
      <c r="D453" s="2" t="str">
        <f t="shared" si="45"/>
        <v>2024</v>
      </c>
      <c r="E453" s="2" t="str">
        <f t="shared" si="42"/>
        <v>September</v>
      </c>
      <c r="F453" s="2" t="str">
        <f t="shared" si="46"/>
        <v>Q4</v>
      </c>
      <c r="G453" s="13">
        <f t="shared" si="43"/>
        <v>8</v>
      </c>
      <c r="H453" s="12" t="s">
        <v>23</v>
      </c>
      <c r="I453" s="1" t="s">
        <v>50</v>
      </c>
      <c r="J453" s="1" t="s">
        <v>19</v>
      </c>
      <c r="K453" s="1" t="s">
        <v>20</v>
      </c>
      <c r="L453" s="1" t="s">
        <v>928</v>
      </c>
      <c r="M453" s="10">
        <v>837.45</v>
      </c>
      <c r="N453" s="8">
        <v>9</v>
      </c>
      <c r="O453" s="6">
        <v>0.27</v>
      </c>
      <c r="P453" s="10">
        <v>568.07000000000005</v>
      </c>
      <c r="Q453" s="11">
        <f t="shared" si="44"/>
        <v>269.38</v>
      </c>
      <c r="R453" t="str">
        <f t="shared" si="47"/>
        <v>profit</v>
      </c>
    </row>
    <row r="454" spans="1:18" ht="15.75" customHeight="1" x14ac:dyDescent="0.4">
      <c r="A454" s="1" t="s">
        <v>929</v>
      </c>
      <c r="B454" s="2">
        <v>44963</v>
      </c>
      <c r="C454" s="2">
        <v>44970</v>
      </c>
      <c r="D454" s="2" t="str">
        <f t="shared" si="45"/>
        <v>2023</v>
      </c>
      <c r="E454" s="2" t="str">
        <f t="shared" si="42"/>
        <v>February</v>
      </c>
      <c r="F454" s="2" t="str">
        <f t="shared" si="46"/>
        <v>Q1</v>
      </c>
      <c r="G454" s="13">
        <f t="shared" si="43"/>
        <v>7</v>
      </c>
      <c r="H454" s="12" t="s">
        <v>42</v>
      </c>
      <c r="I454" s="1" t="s">
        <v>18</v>
      </c>
      <c r="J454" s="1" t="s">
        <v>25</v>
      </c>
      <c r="K454" s="1" t="s">
        <v>47</v>
      </c>
      <c r="L454" s="1" t="s">
        <v>930</v>
      </c>
      <c r="M454" s="10">
        <v>852.66</v>
      </c>
      <c r="N454" s="8">
        <v>2</v>
      </c>
      <c r="O454" s="6">
        <v>0.43</v>
      </c>
      <c r="P454" s="10">
        <v>463.23</v>
      </c>
      <c r="Q454" s="11">
        <f t="shared" si="44"/>
        <v>389.42999999999995</v>
      </c>
      <c r="R454" t="str">
        <f t="shared" si="47"/>
        <v>profit</v>
      </c>
    </row>
    <row r="455" spans="1:18" ht="15.75" customHeight="1" x14ac:dyDescent="0.4">
      <c r="A455" s="1" t="s">
        <v>931</v>
      </c>
      <c r="B455" s="2">
        <v>45010</v>
      </c>
      <c r="C455" s="2">
        <v>45018</v>
      </c>
      <c r="D455" s="2" t="str">
        <f t="shared" si="45"/>
        <v>2023</v>
      </c>
      <c r="E455" s="2" t="str">
        <f t="shared" si="42"/>
        <v>April</v>
      </c>
      <c r="F455" s="2" t="str">
        <f t="shared" si="46"/>
        <v>Q2</v>
      </c>
      <c r="G455" s="13">
        <f t="shared" si="43"/>
        <v>8</v>
      </c>
      <c r="H455" s="12" t="s">
        <v>1986</v>
      </c>
      <c r="I455" s="1" t="s">
        <v>46</v>
      </c>
      <c r="J455" s="1" t="s">
        <v>19</v>
      </c>
      <c r="K455" s="1" t="s">
        <v>20</v>
      </c>
      <c r="L455" s="1" t="s">
        <v>932</v>
      </c>
      <c r="M455" s="10">
        <v>86.86</v>
      </c>
      <c r="N455" s="8">
        <v>2</v>
      </c>
      <c r="O455" s="6">
        <v>0.11</v>
      </c>
      <c r="P455" s="10">
        <v>62.45</v>
      </c>
      <c r="Q455" s="11">
        <f t="shared" si="44"/>
        <v>24.409999999999997</v>
      </c>
      <c r="R455" t="str">
        <f t="shared" si="47"/>
        <v>profit</v>
      </c>
    </row>
    <row r="456" spans="1:18" ht="15.75" customHeight="1" x14ac:dyDescent="0.4">
      <c r="A456" s="1" t="s">
        <v>933</v>
      </c>
      <c r="B456" s="2">
        <v>45497</v>
      </c>
      <c r="C456" s="2">
        <v>45502</v>
      </c>
      <c r="D456" s="2" t="str">
        <f t="shared" si="45"/>
        <v>2024</v>
      </c>
      <c r="E456" s="2" t="str">
        <f t="shared" si="42"/>
        <v>July</v>
      </c>
      <c r="F456" s="2" t="str">
        <f t="shared" si="46"/>
        <v>Q3</v>
      </c>
      <c r="G456" s="13">
        <f t="shared" si="43"/>
        <v>5</v>
      </c>
      <c r="H456" s="12" t="s">
        <v>23</v>
      </c>
      <c r="I456" s="1" t="s">
        <v>18</v>
      </c>
      <c r="J456" s="1" t="s">
        <v>14</v>
      </c>
      <c r="K456" s="1" t="s">
        <v>15</v>
      </c>
      <c r="L456" s="1" t="s">
        <v>286</v>
      </c>
      <c r="M456" s="10">
        <v>858.08</v>
      </c>
      <c r="N456" s="8">
        <v>7</v>
      </c>
      <c r="O456" s="6">
        <v>0.15</v>
      </c>
      <c r="P456" s="10">
        <v>703.46</v>
      </c>
      <c r="Q456" s="11">
        <f t="shared" si="44"/>
        <v>154.62</v>
      </c>
      <c r="R456" t="str">
        <f t="shared" si="47"/>
        <v>profit</v>
      </c>
    </row>
    <row r="457" spans="1:18" ht="15.75" customHeight="1" x14ac:dyDescent="0.4">
      <c r="A457" s="1" t="s">
        <v>934</v>
      </c>
      <c r="B457" s="2">
        <v>45406</v>
      </c>
      <c r="C457" s="2">
        <v>45411</v>
      </c>
      <c r="D457" s="2" t="str">
        <f t="shared" si="45"/>
        <v>2024</v>
      </c>
      <c r="E457" s="2" t="str">
        <f t="shared" si="42"/>
        <v>April</v>
      </c>
      <c r="F457" s="2" t="str">
        <f t="shared" si="46"/>
        <v>Q2</v>
      </c>
      <c r="G457" s="13">
        <f t="shared" si="43"/>
        <v>5</v>
      </c>
      <c r="H457" s="12" t="s">
        <v>42</v>
      </c>
      <c r="I457" s="1" t="s">
        <v>59</v>
      </c>
      <c r="J457" s="1" t="s">
        <v>25</v>
      </c>
      <c r="K457" s="1" t="s">
        <v>47</v>
      </c>
      <c r="L457" s="1" t="s">
        <v>309</v>
      </c>
      <c r="M457" s="10">
        <v>999.41</v>
      </c>
      <c r="N457" s="8">
        <v>5</v>
      </c>
      <c r="O457" s="6">
        <v>0.31</v>
      </c>
      <c r="P457" s="10">
        <v>660.37</v>
      </c>
      <c r="Q457" s="11">
        <f t="shared" si="44"/>
        <v>339.03999999999996</v>
      </c>
      <c r="R457" t="str">
        <f t="shared" si="47"/>
        <v>profit</v>
      </c>
    </row>
    <row r="458" spans="1:18" ht="15.75" customHeight="1" x14ac:dyDescent="0.4">
      <c r="A458" s="1" t="s">
        <v>935</v>
      </c>
      <c r="B458" s="2">
        <v>45586</v>
      </c>
      <c r="C458" s="2">
        <v>45588</v>
      </c>
      <c r="D458" s="2" t="str">
        <f t="shared" si="45"/>
        <v>2024</v>
      </c>
      <c r="E458" s="2" t="str">
        <f t="shared" si="42"/>
        <v>October</v>
      </c>
      <c r="F458" s="2" t="str">
        <f t="shared" si="46"/>
        <v>Q4</v>
      </c>
      <c r="G458" s="13">
        <f t="shared" si="43"/>
        <v>2</v>
      </c>
      <c r="H458" s="12" t="s">
        <v>23</v>
      </c>
      <c r="I458" s="1" t="s">
        <v>24</v>
      </c>
      <c r="J458" s="1" t="s">
        <v>25</v>
      </c>
      <c r="K458" s="1" t="s">
        <v>47</v>
      </c>
      <c r="L458" s="1" t="s">
        <v>936</v>
      </c>
      <c r="M458" s="10">
        <v>214.3</v>
      </c>
      <c r="N458" s="8">
        <v>1</v>
      </c>
      <c r="O458" s="6">
        <v>0.38</v>
      </c>
      <c r="P458" s="10">
        <v>90.38</v>
      </c>
      <c r="Q458" s="11">
        <f t="shared" si="44"/>
        <v>123.92000000000002</v>
      </c>
      <c r="R458" t="str">
        <f t="shared" si="47"/>
        <v>profit</v>
      </c>
    </row>
    <row r="459" spans="1:18" ht="15.75" customHeight="1" x14ac:dyDescent="0.4">
      <c r="A459" s="1" t="s">
        <v>937</v>
      </c>
      <c r="B459" s="2">
        <v>45250</v>
      </c>
      <c r="C459" s="2">
        <v>45252</v>
      </c>
      <c r="D459" s="2" t="str">
        <f t="shared" si="45"/>
        <v>2023</v>
      </c>
      <c r="E459" s="2" t="str">
        <f t="shared" si="42"/>
        <v>November</v>
      </c>
      <c r="F459" s="2" t="str">
        <f t="shared" si="46"/>
        <v>Q4</v>
      </c>
      <c r="G459" s="13">
        <f t="shared" si="43"/>
        <v>2</v>
      </c>
      <c r="H459" s="12" t="s">
        <v>42</v>
      </c>
      <c r="I459" s="1" t="s">
        <v>59</v>
      </c>
      <c r="J459" s="1" t="s">
        <v>19</v>
      </c>
      <c r="K459" s="1" t="s">
        <v>20</v>
      </c>
      <c r="L459" s="1" t="s">
        <v>938</v>
      </c>
      <c r="M459" s="10">
        <v>858.29</v>
      </c>
      <c r="N459" s="8">
        <v>1</v>
      </c>
      <c r="O459" s="6">
        <v>0.28999999999999998</v>
      </c>
      <c r="P459" s="10">
        <v>590.29</v>
      </c>
      <c r="Q459" s="11">
        <f t="shared" si="44"/>
        <v>268</v>
      </c>
      <c r="R459" t="str">
        <f t="shared" si="47"/>
        <v>profit</v>
      </c>
    </row>
    <row r="460" spans="1:18" ht="15.75" customHeight="1" x14ac:dyDescent="0.4">
      <c r="A460" s="1" t="s">
        <v>939</v>
      </c>
      <c r="B460" s="2">
        <v>45029</v>
      </c>
      <c r="C460" s="2">
        <v>45031</v>
      </c>
      <c r="D460" s="2" t="str">
        <f t="shared" si="45"/>
        <v>2023</v>
      </c>
      <c r="E460" s="2" t="str">
        <f t="shared" si="42"/>
        <v>April</v>
      </c>
      <c r="F460" s="2" t="str">
        <f t="shared" si="46"/>
        <v>Q2</v>
      </c>
      <c r="G460" s="13">
        <f t="shared" si="43"/>
        <v>2</v>
      </c>
      <c r="H460" s="12" t="s">
        <v>42</v>
      </c>
      <c r="I460" s="1" t="s">
        <v>24</v>
      </c>
      <c r="J460" s="1" t="s">
        <v>14</v>
      </c>
      <c r="K460" s="1" t="s">
        <v>54</v>
      </c>
      <c r="L460" s="1" t="s">
        <v>940</v>
      </c>
      <c r="M460" s="10">
        <v>505.86</v>
      </c>
      <c r="N460" s="8">
        <v>2</v>
      </c>
      <c r="O460" s="6">
        <v>0.14000000000000001</v>
      </c>
      <c r="P460" s="10">
        <v>417.7</v>
      </c>
      <c r="Q460" s="11">
        <f t="shared" si="44"/>
        <v>88.160000000000025</v>
      </c>
      <c r="R460" t="str">
        <f t="shared" si="47"/>
        <v>profit</v>
      </c>
    </row>
    <row r="461" spans="1:18" ht="15.75" customHeight="1" x14ac:dyDescent="0.4">
      <c r="A461" s="1" t="s">
        <v>941</v>
      </c>
      <c r="B461" s="2">
        <v>45156</v>
      </c>
      <c r="C461" s="2">
        <v>45159</v>
      </c>
      <c r="D461" s="2" t="str">
        <f t="shared" si="45"/>
        <v>2023</v>
      </c>
      <c r="E461" s="2" t="str">
        <f t="shared" si="42"/>
        <v>August</v>
      </c>
      <c r="F461" s="2" t="str">
        <f t="shared" si="46"/>
        <v>Q3</v>
      </c>
      <c r="G461" s="13">
        <f t="shared" si="43"/>
        <v>3</v>
      </c>
      <c r="H461" s="12" t="s">
        <v>23</v>
      </c>
      <c r="I461" s="1" t="s">
        <v>46</v>
      </c>
      <c r="J461" s="1" t="s">
        <v>14</v>
      </c>
      <c r="K461" s="1" t="s">
        <v>54</v>
      </c>
      <c r="L461" s="1" t="s">
        <v>942</v>
      </c>
      <c r="M461" s="10">
        <v>285.74</v>
      </c>
      <c r="N461" s="8">
        <v>1</v>
      </c>
      <c r="O461" s="6">
        <v>0.03</v>
      </c>
      <c r="P461" s="10">
        <v>264.66000000000003</v>
      </c>
      <c r="Q461" s="11">
        <f t="shared" si="44"/>
        <v>21.079999999999984</v>
      </c>
      <c r="R461" t="str">
        <f t="shared" si="47"/>
        <v>profit</v>
      </c>
    </row>
    <row r="462" spans="1:18" ht="15.75" customHeight="1" x14ac:dyDescent="0.4">
      <c r="A462" s="1" t="s">
        <v>943</v>
      </c>
      <c r="B462" s="2">
        <v>44979</v>
      </c>
      <c r="C462" s="2">
        <v>44982</v>
      </c>
      <c r="D462" s="2" t="str">
        <f t="shared" si="45"/>
        <v>2023</v>
      </c>
      <c r="E462" s="2" t="str">
        <f t="shared" si="42"/>
        <v>February</v>
      </c>
      <c r="F462" s="2" t="str">
        <f t="shared" si="46"/>
        <v>Q1</v>
      </c>
      <c r="G462" s="13">
        <f t="shared" si="43"/>
        <v>3</v>
      </c>
      <c r="H462" s="12" t="s">
        <v>42</v>
      </c>
      <c r="I462" s="1" t="s">
        <v>53</v>
      </c>
      <c r="J462" s="1" t="s">
        <v>19</v>
      </c>
      <c r="K462" s="1" t="s">
        <v>35</v>
      </c>
      <c r="L462" s="1" t="s">
        <v>944</v>
      </c>
      <c r="M462" s="10">
        <v>67.650000000000006</v>
      </c>
      <c r="N462" s="8">
        <v>7</v>
      </c>
      <c r="O462" s="6">
        <v>0.01</v>
      </c>
      <c r="P462" s="10">
        <v>19.14</v>
      </c>
      <c r="Q462" s="11">
        <f t="shared" si="44"/>
        <v>48.510000000000005</v>
      </c>
      <c r="R462" t="str">
        <f t="shared" si="47"/>
        <v>profit</v>
      </c>
    </row>
    <row r="463" spans="1:18" ht="15.75" customHeight="1" x14ac:dyDescent="0.4">
      <c r="A463" s="1" t="s">
        <v>945</v>
      </c>
      <c r="B463" s="2">
        <v>44940</v>
      </c>
      <c r="C463" s="2">
        <v>44949</v>
      </c>
      <c r="D463" s="2" t="str">
        <f t="shared" si="45"/>
        <v>2023</v>
      </c>
      <c r="E463" s="2" t="str">
        <f t="shared" si="42"/>
        <v>January</v>
      </c>
      <c r="F463" s="2" t="str">
        <f t="shared" si="46"/>
        <v>Q1</v>
      </c>
      <c r="G463" s="13">
        <f t="shared" si="43"/>
        <v>9</v>
      </c>
      <c r="H463" s="12" t="s">
        <v>1987</v>
      </c>
      <c r="I463" s="1" t="s">
        <v>13</v>
      </c>
      <c r="J463" s="1" t="s">
        <v>19</v>
      </c>
      <c r="K463" s="1" t="s">
        <v>35</v>
      </c>
      <c r="L463" s="1" t="s">
        <v>946</v>
      </c>
      <c r="M463" s="10">
        <v>822.59</v>
      </c>
      <c r="N463" s="8">
        <v>8</v>
      </c>
      <c r="O463" s="6">
        <v>0.06</v>
      </c>
      <c r="P463" s="10">
        <v>749.26</v>
      </c>
      <c r="Q463" s="11">
        <f t="shared" si="44"/>
        <v>73.330000000000041</v>
      </c>
      <c r="R463" t="str">
        <f t="shared" si="47"/>
        <v>profit</v>
      </c>
    </row>
    <row r="464" spans="1:18" ht="15.75" customHeight="1" x14ac:dyDescent="0.4">
      <c r="A464" s="1" t="s">
        <v>947</v>
      </c>
      <c r="B464" s="2">
        <v>45168</v>
      </c>
      <c r="C464" s="2">
        <v>45175</v>
      </c>
      <c r="D464" s="2" t="str">
        <f t="shared" si="45"/>
        <v>2023</v>
      </c>
      <c r="E464" s="2" t="str">
        <f t="shared" si="42"/>
        <v>September</v>
      </c>
      <c r="F464" s="2" t="str">
        <f t="shared" si="46"/>
        <v>Q4</v>
      </c>
      <c r="G464" s="13">
        <f t="shared" si="43"/>
        <v>7</v>
      </c>
      <c r="H464" s="12" t="s">
        <v>1987</v>
      </c>
      <c r="I464" s="1" t="s">
        <v>29</v>
      </c>
      <c r="J464" s="1" t="s">
        <v>14</v>
      </c>
      <c r="K464" s="1" t="s">
        <v>30</v>
      </c>
      <c r="L464" s="1" t="s">
        <v>948</v>
      </c>
      <c r="M464" s="10">
        <v>684.6</v>
      </c>
      <c r="N464" s="8">
        <v>9</v>
      </c>
      <c r="O464" s="6">
        <v>0.09</v>
      </c>
      <c r="P464" s="10">
        <v>591</v>
      </c>
      <c r="Q464" s="11">
        <f t="shared" si="44"/>
        <v>93.600000000000023</v>
      </c>
      <c r="R464" t="str">
        <f t="shared" si="47"/>
        <v>profit</v>
      </c>
    </row>
    <row r="465" spans="1:18" ht="15.75" customHeight="1" x14ac:dyDescent="0.4">
      <c r="A465" s="1" t="s">
        <v>949</v>
      </c>
      <c r="B465" s="2">
        <v>45027</v>
      </c>
      <c r="C465" s="2">
        <v>45032</v>
      </c>
      <c r="D465" s="2" t="str">
        <f t="shared" si="45"/>
        <v>2023</v>
      </c>
      <c r="E465" s="2" t="str">
        <f t="shared" si="42"/>
        <v>April</v>
      </c>
      <c r="F465" s="2" t="str">
        <f t="shared" si="46"/>
        <v>Q2</v>
      </c>
      <c r="G465" s="13">
        <f t="shared" si="43"/>
        <v>5</v>
      </c>
      <c r="H465" s="12" t="s">
        <v>1987</v>
      </c>
      <c r="I465" s="1" t="s">
        <v>59</v>
      </c>
      <c r="J465" s="1" t="s">
        <v>14</v>
      </c>
      <c r="K465" s="1" t="s">
        <v>54</v>
      </c>
      <c r="L465" s="1" t="s">
        <v>950</v>
      </c>
      <c r="M465" s="10">
        <v>825</v>
      </c>
      <c r="N465" s="8">
        <v>2</v>
      </c>
      <c r="O465" s="6">
        <v>0.34</v>
      </c>
      <c r="P465" s="10">
        <v>527.71</v>
      </c>
      <c r="Q465" s="11">
        <f t="shared" si="44"/>
        <v>297.28999999999996</v>
      </c>
      <c r="R465" t="str">
        <f t="shared" si="47"/>
        <v>profit</v>
      </c>
    </row>
    <row r="466" spans="1:18" ht="15.75" customHeight="1" x14ac:dyDescent="0.4">
      <c r="A466" s="1" t="s">
        <v>951</v>
      </c>
      <c r="B466" s="2">
        <v>45407</v>
      </c>
      <c r="C466" s="2">
        <v>45409</v>
      </c>
      <c r="D466" s="2" t="str">
        <f t="shared" si="45"/>
        <v>2024</v>
      </c>
      <c r="E466" s="2" t="str">
        <f t="shared" si="42"/>
        <v>April</v>
      </c>
      <c r="F466" s="2" t="str">
        <f t="shared" si="46"/>
        <v>Q2</v>
      </c>
      <c r="G466" s="13">
        <f t="shared" si="43"/>
        <v>2</v>
      </c>
      <c r="H466" s="12" t="s">
        <v>42</v>
      </c>
      <c r="I466" s="1" t="s">
        <v>59</v>
      </c>
      <c r="J466" s="1" t="s">
        <v>25</v>
      </c>
      <c r="K466" s="1" t="s">
        <v>47</v>
      </c>
      <c r="L466" s="1" t="s">
        <v>952</v>
      </c>
      <c r="M466" s="10">
        <v>308.95999999999998</v>
      </c>
      <c r="N466" s="8">
        <v>3</v>
      </c>
      <c r="O466" s="6">
        <v>0.49</v>
      </c>
      <c r="P466" s="10">
        <v>113.53</v>
      </c>
      <c r="Q466" s="11">
        <f t="shared" si="44"/>
        <v>195.42999999999998</v>
      </c>
      <c r="R466" t="str">
        <f t="shared" si="47"/>
        <v>profit</v>
      </c>
    </row>
    <row r="467" spans="1:18" ht="15.75" customHeight="1" x14ac:dyDescent="0.4">
      <c r="A467" s="1" t="s">
        <v>953</v>
      </c>
      <c r="B467" s="2">
        <v>45579</v>
      </c>
      <c r="C467" s="2">
        <v>45582</v>
      </c>
      <c r="D467" s="2" t="str">
        <f t="shared" si="45"/>
        <v>2024</v>
      </c>
      <c r="E467" s="2" t="str">
        <f t="shared" si="42"/>
        <v>October</v>
      </c>
      <c r="F467" s="2" t="str">
        <f t="shared" si="46"/>
        <v>Q4</v>
      </c>
      <c r="G467" s="13">
        <f t="shared" si="43"/>
        <v>3</v>
      </c>
      <c r="H467" s="12" t="s">
        <v>42</v>
      </c>
      <c r="I467" s="1" t="s">
        <v>18</v>
      </c>
      <c r="J467" s="1" t="s">
        <v>19</v>
      </c>
      <c r="K467" s="1" t="s">
        <v>92</v>
      </c>
      <c r="L467" s="1" t="s">
        <v>954</v>
      </c>
      <c r="M467" s="10">
        <v>899.85</v>
      </c>
      <c r="N467" s="8">
        <v>9</v>
      </c>
      <c r="O467" s="6">
        <v>0.28999999999999998</v>
      </c>
      <c r="P467" s="10">
        <v>592.9</v>
      </c>
      <c r="Q467" s="11">
        <f t="shared" si="44"/>
        <v>306.95000000000005</v>
      </c>
      <c r="R467" t="str">
        <f t="shared" si="47"/>
        <v>profit</v>
      </c>
    </row>
    <row r="468" spans="1:18" ht="15.75" customHeight="1" x14ac:dyDescent="0.4">
      <c r="A468" s="1" t="s">
        <v>955</v>
      </c>
      <c r="B468" s="2">
        <v>44935</v>
      </c>
      <c r="C468" s="2">
        <v>44942</v>
      </c>
      <c r="D468" s="2" t="str">
        <f t="shared" si="45"/>
        <v>2023</v>
      </c>
      <c r="E468" s="2" t="str">
        <f t="shared" si="42"/>
        <v>January</v>
      </c>
      <c r="F468" s="2" t="str">
        <f t="shared" si="46"/>
        <v>Q1</v>
      </c>
      <c r="G468" s="13">
        <f t="shared" si="43"/>
        <v>7</v>
      </c>
      <c r="H468" s="12" t="s">
        <v>23</v>
      </c>
      <c r="I468" s="1" t="s">
        <v>59</v>
      </c>
      <c r="J468" s="1" t="s">
        <v>25</v>
      </c>
      <c r="K468" s="1" t="s">
        <v>47</v>
      </c>
      <c r="L468" s="1" t="s">
        <v>956</v>
      </c>
      <c r="M468" s="10">
        <v>510.09</v>
      </c>
      <c r="N468" s="8">
        <v>2</v>
      </c>
      <c r="O468" s="6">
        <v>0.14000000000000001</v>
      </c>
      <c r="P468" s="10">
        <v>396.34</v>
      </c>
      <c r="Q468" s="11">
        <f t="shared" si="44"/>
        <v>113.75</v>
      </c>
      <c r="R468" t="str">
        <f t="shared" si="47"/>
        <v>profit</v>
      </c>
    </row>
    <row r="469" spans="1:18" ht="15.75" customHeight="1" x14ac:dyDescent="0.4">
      <c r="A469" s="1" t="s">
        <v>957</v>
      </c>
      <c r="B469" s="2">
        <v>45589</v>
      </c>
      <c r="C469" s="2">
        <v>45595</v>
      </c>
      <c r="D469" s="2" t="str">
        <f t="shared" si="45"/>
        <v>2024</v>
      </c>
      <c r="E469" s="2" t="str">
        <f t="shared" si="42"/>
        <v>October</v>
      </c>
      <c r="F469" s="2" t="str">
        <f t="shared" si="46"/>
        <v>Q4</v>
      </c>
      <c r="G469" s="13">
        <f t="shared" si="43"/>
        <v>6</v>
      </c>
      <c r="H469" s="12" t="s">
        <v>23</v>
      </c>
      <c r="I469" s="1" t="s">
        <v>53</v>
      </c>
      <c r="J469" s="1" t="s">
        <v>14</v>
      </c>
      <c r="K469" s="1" t="s">
        <v>54</v>
      </c>
      <c r="L469" s="1" t="s">
        <v>958</v>
      </c>
      <c r="M469" s="10">
        <v>49.67</v>
      </c>
      <c r="N469" s="8">
        <v>6</v>
      </c>
      <c r="O469" s="6">
        <v>0.38</v>
      </c>
      <c r="P469" s="10">
        <v>14.57</v>
      </c>
      <c r="Q469" s="11">
        <f t="shared" si="44"/>
        <v>35.1</v>
      </c>
      <c r="R469" t="str">
        <f t="shared" si="47"/>
        <v>profit</v>
      </c>
    </row>
    <row r="470" spans="1:18" ht="15.75" customHeight="1" x14ac:dyDescent="0.4">
      <c r="A470" s="1" t="s">
        <v>959</v>
      </c>
      <c r="B470" s="2">
        <v>45047</v>
      </c>
      <c r="C470" s="2">
        <v>45051</v>
      </c>
      <c r="D470" s="2" t="str">
        <f t="shared" si="45"/>
        <v>2023</v>
      </c>
      <c r="E470" s="2" t="str">
        <f t="shared" si="42"/>
        <v>May</v>
      </c>
      <c r="F470" s="2" t="str">
        <f t="shared" si="46"/>
        <v>Q2</v>
      </c>
      <c r="G470" s="13">
        <f t="shared" si="43"/>
        <v>4</v>
      </c>
      <c r="H470" s="12" t="s">
        <v>1986</v>
      </c>
      <c r="I470" s="1" t="s">
        <v>18</v>
      </c>
      <c r="J470" s="1" t="s">
        <v>14</v>
      </c>
      <c r="K470" s="1" t="s">
        <v>15</v>
      </c>
      <c r="L470" s="1" t="s">
        <v>960</v>
      </c>
      <c r="M470" s="10">
        <v>591.61</v>
      </c>
      <c r="N470" s="8">
        <v>6</v>
      </c>
      <c r="O470" s="6">
        <v>0.09</v>
      </c>
      <c r="P470" s="10">
        <v>494.04</v>
      </c>
      <c r="Q470" s="11">
        <f t="shared" si="44"/>
        <v>97.57</v>
      </c>
      <c r="R470" t="str">
        <f t="shared" si="47"/>
        <v>profit</v>
      </c>
    </row>
    <row r="471" spans="1:18" ht="15.75" customHeight="1" x14ac:dyDescent="0.4">
      <c r="A471" s="1" t="s">
        <v>961</v>
      </c>
      <c r="B471" s="2">
        <v>45591</v>
      </c>
      <c r="C471" s="2">
        <v>45598</v>
      </c>
      <c r="D471" s="2" t="str">
        <f t="shared" si="45"/>
        <v>2024</v>
      </c>
      <c r="E471" s="2" t="str">
        <f t="shared" si="42"/>
        <v>November</v>
      </c>
      <c r="F471" s="2" t="str">
        <f t="shared" si="46"/>
        <v>Q4</v>
      </c>
      <c r="G471" s="13">
        <f t="shared" si="43"/>
        <v>7</v>
      </c>
      <c r="H471" s="12" t="s">
        <v>1987</v>
      </c>
      <c r="I471" s="1" t="s">
        <v>59</v>
      </c>
      <c r="J471" s="1" t="s">
        <v>14</v>
      </c>
      <c r="K471" s="1" t="s">
        <v>54</v>
      </c>
      <c r="L471" s="1" t="s">
        <v>962</v>
      </c>
      <c r="M471" s="10">
        <v>884.4</v>
      </c>
      <c r="N471" s="8">
        <v>7</v>
      </c>
      <c r="O471" s="6">
        <v>0.28999999999999998</v>
      </c>
      <c r="P471" s="10">
        <v>583.34</v>
      </c>
      <c r="Q471" s="11">
        <f t="shared" si="44"/>
        <v>301.05999999999995</v>
      </c>
      <c r="R471" t="str">
        <f t="shared" si="47"/>
        <v>profit</v>
      </c>
    </row>
    <row r="472" spans="1:18" ht="15.75" customHeight="1" x14ac:dyDescent="0.4">
      <c r="A472" s="1" t="s">
        <v>963</v>
      </c>
      <c r="B472" s="2">
        <v>45509</v>
      </c>
      <c r="C472" s="2">
        <v>45510</v>
      </c>
      <c r="D472" s="2" t="str">
        <f t="shared" si="45"/>
        <v>2024</v>
      </c>
      <c r="E472" s="2" t="str">
        <f t="shared" si="42"/>
        <v>August</v>
      </c>
      <c r="F472" s="2" t="str">
        <f t="shared" si="46"/>
        <v>Q3</v>
      </c>
      <c r="G472" s="13">
        <f t="shared" si="43"/>
        <v>1</v>
      </c>
      <c r="H472" s="12" t="s">
        <v>1987</v>
      </c>
      <c r="I472" s="1" t="s">
        <v>18</v>
      </c>
      <c r="J472" s="1" t="s">
        <v>25</v>
      </c>
      <c r="K472" s="1" t="s">
        <v>43</v>
      </c>
      <c r="L472" s="1" t="s">
        <v>964</v>
      </c>
      <c r="M472" s="10">
        <v>412.76</v>
      </c>
      <c r="N472" s="8">
        <v>4</v>
      </c>
      <c r="O472" s="6">
        <v>0.12</v>
      </c>
      <c r="P472" s="10">
        <v>341.46</v>
      </c>
      <c r="Q472" s="11">
        <f t="shared" si="44"/>
        <v>71.300000000000011</v>
      </c>
      <c r="R472" t="str">
        <f t="shared" si="47"/>
        <v>profit</v>
      </c>
    </row>
    <row r="473" spans="1:18" ht="15.75" customHeight="1" x14ac:dyDescent="0.4">
      <c r="A473" s="1" t="s">
        <v>965</v>
      </c>
      <c r="B473" s="2">
        <v>45502</v>
      </c>
      <c r="C473" s="2">
        <v>45507</v>
      </c>
      <c r="D473" s="2" t="str">
        <f t="shared" si="45"/>
        <v>2024</v>
      </c>
      <c r="E473" s="2" t="str">
        <f t="shared" si="42"/>
        <v>August</v>
      </c>
      <c r="F473" s="2" t="str">
        <f t="shared" si="46"/>
        <v>Q3</v>
      </c>
      <c r="G473" s="13">
        <f t="shared" si="43"/>
        <v>5</v>
      </c>
      <c r="H473" s="12" t="s">
        <v>42</v>
      </c>
      <c r="I473" s="1" t="s">
        <v>24</v>
      </c>
      <c r="J473" s="1" t="s">
        <v>14</v>
      </c>
      <c r="K473" s="1" t="s">
        <v>15</v>
      </c>
      <c r="L473" s="1" t="s">
        <v>966</v>
      </c>
      <c r="M473" s="10">
        <v>971.55</v>
      </c>
      <c r="N473" s="8">
        <v>1</v>
      </c>
      <c r="O473" s="6">
        <v>0.17</v>
      </c>
      <c r="P473" s="10">
        <v>789.42</v>
      </c>
      <c r="Q473" s="11">
        <f t="shared" si="44"/>
        <v>182.13</v>
      </c>
      <c r="R473" t="str">
        <f t="shared" si="47"/>
        <v>profit</v>
      </c>
    </row>
    <row r="474" spans="1:18" ht="15.75" customHeight="1" x14ac:dyDescent="0.4">
      <c r="A474" s="1" t="s">
        <v>967</v>
      </c>
      <c r="B474" s="2">
        <v>45082</v>
      </c>
      <c r="C474" s="2">
        <v>45083</v>
      </c>
      <c r="D474" s="2" t="str">
        <f t="shared" si="45"/>
        <v>2023</v>
      </c>
      <c r="E474" s="2" t="str">
        <f t="shared" si="42"/>
        <v>June</v>
      </c>
      <c r="F474" s="2" t="str">
        <f t="shared" si="46"/>
        <v>Q3</v>
      </c>
      <c r="G474" s="13">
        <f t="shared" si="43"/>
        <v>1</v>
      </c>
      <c r="H474" s="12" t="s">
        <v>1986</v>
      </c>
      <c r="I474" s="1" t="s">
        <v>13</v>
      </c>
      <c r="J474" s="1" t="s">
        <v>14</v>
      </c>
      <c r="K474" s="1" t="s">
        <v>54</v>
      </c>
      <c r="L474" s="1" t="s">
        <v>968</v>
      </c>
      <c r="M474" s="10">
        <v>373.43</v>
      </c>
      <c r="N474" s="8">
        <v>3</v>
      </c>
      <c r="O474" s="6">
        <v>7.0000000000000007E-2</v>
      </c>
      <c r="P474" s="10">
        <v>308.38</v>
      </c>
      <c r="Q474" s="11">
        <f t="shared" si="44"/>
        <v>65.050000000000011</v>
      </c>
      <c r="R474" t="str">
        <f t="shared" si="47"/>
        <v>profit</v>
      </c>
    </row>
    <row r="475" spans="1:18" ht="15.75" customHeight="1" x14ac:dyDescent="0.4">
      <c r="A475" s="1" t="s">
        <v>969</v>
      </c>
      <c r="B475" s="2">
        <v>45235</v>
      </c>
      <c r="C475" s="2">
        <v>45244</v>
      </c>
      <c r="D475" s="2" t="str">
        <f t="shared" si="45"/>
        <v>2023</v>
      </c>
      <c r="E475" s="2" t="str">
        <f t="shared" si="42"/>
        <v>November</v>
      </c>
      <c r="F475" s="2" t="str">
        <f t="shared" si="46"/>
        <v>Q4</v>
      </c>
      <c r="G475" s="13">
        <f t="shared" si="43"/>
        <v>9</v>
      </c>
      <c r="H475" s="12" t="s">
        <v>23</v>
      </c>
      <c r="I475" s="1" t="s">
        <v>59</v>
      </c>
      <c r="J475" s="1" t="s">
        <v>25</v>
      </c>
      <c r="K475" s="1" t="s">
        <v>47</v>
      </c>
      <c r="L475" s="1" t="s">
        <v>804</v>
      </c>
      <c r="M475" s="10">
        <v>654.61</v>
      </c>
      <c r="N475" s="8">
        <v>1</v>
      </c>
      <c r="O475" s="6">
        <v>0.24</v>
      </c>
      <c r="P475" s="10">
        <v>461.38</v>
      </c>
      <c r="Q475" s="11">
        <f t="shared" si="44"/>
        <v>193.23000000000002</v>
      </c>
      <c r="R475" t="str">
        <f t="shared" si="47"/>
        <v>profit</v>
      </c>
    </row>
    <row r="476" spans="1:18" ht="15.75" customHeight="1" x14ac:dyDescent="0.4">
      <c r="A476" s="1" t="s">
        <v>970</v>
      </c>
      <c r="B476" s="2">
        <v>45314</v>
      </c>
      <c r="C476" s="2">
        <v>45320</v>
      </c>
      <c r="D476" s="2" t="str">
        <f t="shared" si="45"/>
        <v>2024</v>
      </c>
      <c r="E476" s="2" t="str">
        <f t="shared" si="42"/>
        <v>January</v>
      </c>
      <c r="F476" s="2" t="str">
        <f t="shared" si="46"/>
        <v>Q1</v>
      </c>
      <c r="G476" s="13">
        <f t="shared" si="43"/>
        <v>6</v>
      </c>
      <c r="H476" s="12" t="s">
        <v>23</v>
      </c>
      <c r="I476" s="1" t="s">
        <v>24</v>
      </c>
      <c r="J476" s="1" t="s">
        <v>14</v>
      </c>
      <c r="K476" s="1" t="s">
        <v>54</v>
      </c>
      <c r="L476" s="1" t="s">
        <v>971</v>
      </c>
      <c r="M476" s="10">
        <v>923.22</v>
      </c>
      <c r="N476" s="8">
        <v>4</v>
      </c>
      <c r="O476" s="6">
        <v>0.01</v>
      </c>
      <c r="P476" s="10">
        <v>870.67</v>
      </c>
      <c r="Q476" s="11">
        <f t="shared" si="44"/>
        <v>52.550000000000068</v>
      </c>
      <c r="R476" t="str">
        <f t="shared" si="47"/>
        <v>profit</v>
      </c>
    </row>
    <row r="477" spans="1:18" ht="15.75" customHeight="1" x14ac:dyDescent="0.4">
      <c r="A477" s="1" t="s">
        <v>972</v>
      </c>
      <c r="B477" s="2">
        <v>44960</v>
      </c>
      <c r="C477" s="2">
        <v>44969</v>
      </c>
      <c r="D477" s="2" t="str">
        <f t="shared" si="45"/>
        <v>2023</v>
      </c>
      <c r="E477" s="2" t="str">
        <f t="shared" si="42"/>
        <v>February</v>
      </c>
      <c r="F477" s="2" t="str">
        <f t="shared" si="46"/>
        <v>Q1</v>
      </c>
      <c r="G477" s="13">
        <f t="shared" si="43"/>
        <v>9</v>
      </c>
      <c r="H477" s="12" t="s">
        <v>1986</v>
      </c>
      <c r="I477" s="1" t="s">
        <v>59</v>
      </c>
      <c r="J477" s="1" t="s">
        <v>14</v>
      </c>
      <c r="K477" s="1" t="s">
        <v>30</v>
      </c>
      <c r="L477" s="1" t="s">
        <v>973</v>
      </c>
      <c r="M477" s="10">
        <v>203.42</v>
      </c>
      <c r="N477" s="8">
        <v>2</v>
      </c>
      <c r="O477" s="6">
        <v>0.41</v>
      </c>
      <c r="P477" s="10">
        <v>94.37</v>
      </c>
      <c r="Q477" s="11">
        <f t="shared" si="44"/>
        <v>109.04999999999998</v>
      </c>
      <c r="R477" t="str">
        <f t="shared" si="47"/>
        <v>profit</v>
      </c>
    </row>
    <row r="478" spans="1:18" ht="15.75" customHeight="1" x14ac:dyDescent="0.4">
      <c r="A478" s="1" t="s">
        <v>974</v>
      </c>
      <c r="B478" s="2">
        <v>45087</v>
      </c>
      <c r="C478" s="2">
        <v>45092</v>
      </c>
      <c r="D478" s="2" t="str">
        <f t="shared" si="45"/>
        <v>2023</v>
      </c>
      <c r="E478" s="2" t="str">
        <f t="shared" si="42"/>
        <v>June</v>
      </c>
      <c r="F478" s="2" t="str">
        <f t="shared" si="46"/>
        <v>Q3</v>
      </c>
      <c r="G478" s="13">
        <f t="shared" si="43"/>
        <v>5</v>
      </c>
      <c r="H478" s="12" t="s">
        <v>42</v>
      </c>
      <c r="I478" s="1" t="s">
        <v>46</v>
      </c>
      <c r="J478" s="1" t="s">
        <v>19</v>
      </c>
      <c r="K478" s="1" t="s">
        <v>35</v>
      </c>
      <c r="L478" s="1" t="s">
        <v>40</v>
      </c>
      <c r="M478" s="10">
        <v>298.92</v>
      </c>
      <c r="N478" s="8">
        <v>1</v>
      </c>
      <c r="O478" s="6">
        <v>0.1</v>
      </c>
      <c r="P478" s="10">
        <v>225.11</v>
      </c>
      <c r="Q478" s="11">
        <f t="shared" si="44"/>
        <v>73.81</v>
      </c>
      <c r="R478" t="str">
        <f t="shared" si="47"/>
        <v>profit</v>
      </c>
    </row>
    <row r="479" spans="1:18" ht="15.75" customHeight="1" x14ac:dyDescent="0.4">
      <c r="A479" s="1" t="s">
        <v>975</v>
      </c>
      <c r="B479" s="2">
        <v>45522</v>
      </c>
      <c r="C479" s="2">
        <v>45527</v>
      </c>
      <c r="D479" s="2" t="str">
        <f t="shared" si="45"/>
        <v>2024</v>
      </c>
      <c r="E479" s="2" t="str">
        <f t="shared" si="42"/>
        <v>August</v>
      </c>
      <c r="F479" s="2" t="str">
        <f t="shared" si="46"/>
        <v>Q3</v>
      </c>
      <c r="G479" s="13">
        <f t="shared" si="43"/>
        <v>5</v>
      </c>
      <c r="H479" s="12" t="s">
        <v>1987</v>
      </c>
      <c r="I479" s="1" t="s">
        <v>53</v>
      </c>
      <c r="J479" s="1" t="s">
        <v>25</v>
      </c>
      <c r="K479" s="1" t="s">
        <v>43</v>
      </c>
      <c r="L479" s="1" t="s">
        <v>976</v>
      </c>
      <c r="M479" s="10">
        <v>685.53</v>
      </c>
      <c r="N479" s="8">
        <v>1</v>
      </c>
      <c r="O479" s="6">
        <v>0.37</v>
      </c>
      <c r="P479" s="10">
        <v>402.29</v>
      </c>
      <c r="Q479" s="11">
        <f t="shared" si="44"/>
        <v>283.23999999999995</v>
      </c>
      <c r="R479" t="str">
        <f t="shared" si="47"/>
        <v>profit</v>
      </c>
    </row>
    <row r="480" spans="1:18" ht="15.75" customHeight="1" x14ac:dyDescent="0.4">
      <c r="A480" s="1" t="s">
        <v>977</v>
      </c>
      <c r="B480" s="2">
        <v>45137</v>
      </c>
      <c r="C480" s="2">
        <v>45137</v>
      </c>
      <c r="D480" s="2" t="str">
        <f t="shared" si="45"/>
        <v>2023</v>
      </c>
      <c r="E480" s="2" t="str">
        <f t="shared" si="42"/>
        <v>July</v>
      </c>
      <c r="F480" s="2" t="str">
        <f t="shared" si="46"/>
        <v>Q3</v>
      </c>
      <c r="G480" s="13">
        <f t="shared" si="43"/>
        <v>0</v>
      </c>
      <c r="H480" s="12" t="s">
        <v>1987</v>
      </c>
      <c r="I480" s="1" t="s">
        <v>13</v>
      </c>
      <c r="J480" s="1" t="s">
        <v>25</v>
      </c>
      <c r="K480" s="1" t="s">
        <v>47</v>
      </c>
      <c r="L480" s="1" t="s">
        <v>978</v>
      </c>
      <c r="M480" s="10">
        <v>751.92</v>
      </c>
      <c r="N480" s="8">
        <v>10</v>
      </c>
      <c r="O480" s="6">
        <v>0.21</v>
      </c>
      <c r="P480" s="10">
        <v>554.48</v>
      </c>
      <c r="Q480" s="11">
        <f t="shared" si="44"/>
        <v>197.43999999999994</v>
      </c>
      <c r="R480" t="str">
        <f t="shared" si="47"/>
        <v>profit</v>
      </c>
    </row>
    <row r="481" spans="1:18" ht="15.75" customHeight="1" x14ac:dyDescent="0.4">
      <c r="A481" s="1" t="s">
        <v>979</v>
      </c>
      <c r="B481" s="2">
        <v>45430</v>
      </c>
      <c r="C481" s="2">
        <v>45437</v>
      </c>
      <c r="D481" s="2" t="str">
        <f t="shared" si="45"/>
        <v>2024</v>
      </c>
      <c r="E481" s="2" t="str">
        <f t="shared" si="42"/>
        <v>May</v>
      </c>
      <c r="F481" s="2" t="str">
        <f t="shared" si="46"/>
        <v>Q2</v>
      </c>
      <c r="G481" s="13">
        <f t="shared" si="43"/>
        <v>7</v>
      </c>
      <c r="H481" s="12" t="s">
        <v>23</v>
      </c>
      <c r="I481" s="1" t="s">
        <v>59</v>
      </c>
      <c r="J481" s="1" t="s">
        <v>25</v>
      </c>
      <c r="K481" s="1" t="s">
        <v>47</v>
      </c>
      <c r="L481" s="1" t="s">
        <v>980</v>
      </c>
      <c r="M481" s="10">
        <v>654.37</v>
      </c>
      <c r="N481" s="8">
        <v>5</v>
      </c>
      <c r="O481" s="6">
        <v>0.04</v>
      </c>
      <c r="P481" s="10">
        <v>595.85</v>
      </c>
      <c r="Q481" s="11">
        <f t="shared" si="44"/>
        <v>58.519999999999982</v>
      </c>
      <c r="R481" t="str">
        <f t="shared" si="47"/>
        <v>profit</v>
      </c>
    </row>
    <row r="482" spans="1:18" ht="15.75" customHeight="1" x14ac:dyDescent="0.4">
      <c r="A482" s="1" t="s">
        <v>981</v>
      </c>
      <c r="B482" s="2">
        <v>45107</v>
      </c>
      <c r="C482" s="2">
        <v>45115</v>
      </c>
      <c r="D482" s="2" t="str">
        <f t="shared" si="45"/>
        <v>2023</v>
      </c>
      <c r="E482" s="2" t="str">
        <f t="shared" si="42"/>
        <v>July</v>
      </c>
      <c r="F482" s="2" t="str">
        <f t="shared" si="46"/>
        <v>Q3</v>
      </c>
      <c r="G482" s="13">
        <f t="shared" si="43"/>
        <v>8</v>
      </c>
      <c r="H482" s="12" t="s">
        <v>42</v>
      </c>
      <c r="I482" s="1" t="s">
        <v>18</v>
      </c>
      <c r="J482" s="1" t="s">
        <v>25</v>
      </c>
      <c r="K482" s="1" t="s">
        <v>26</v>
      </c>
      <c r="L482" s="1" t="s">
        <v>982</v>
      </c>
      <c r="M482" s="10">
        <v>355.11</v>
      </c>
      <c r="N482" s="8">
        <v>9</v>
      </c>
      <c r="O482" s="6">
        <v>0.02</v>
      </c>
      <c r="P482" s="10">
        <v>332.82</v>
      </c>
      <c r="Q482" s="11">
        <f t="shared" si="44"/>
        <v>22.29000000000002</v>
      </c>
      <c r="R482" t="str">
        <f t="shared" si="47"/>
        <v>profit</v>
      </c>
    </row>
    <row r="483" spans="1:18" ht="15.75" customHeight="1" x14ac:dyDescent="0.4">
      <c r="A483" s="1" t="s">
        <v>983</v>
      </c>
      <c r="B483" s="2">
        <v>45172</v>
      </c>
      <c r="C483" s="2">
        <v>45178</v>
      </c>
      <c r="D483" s="2" t="str">
        <f t="shared" si="45"/>
        <v>2023</v>
      </c>
      <c r="E483" s="2" t="str">
        <f t="shared" si="42"/>
        <v>September</v>
      </c>
      <c r="F483" s="2" t="str">
        <f t="shared" si="46"/>
        <v>Q4</v>
      </c>
      <c r="G483" s="13">
        <f t="shared" si="43"/>
        <v>6</v>
      </c>
      <c r="H483" s="12" t="s">
        <v>1987</v>
      </c>
      <c r="I483" s="1" t="s">
        <v>29</v>
      </c>
      <c r="J483" s="1" t="s">
        <v>14</v>
      </c>
      <c r="K483" s="1" t="s">
        <v>15</v>
      </c>
      <c r="L483" s="1" t="s">
        <v>984</v>
      </c>
      <c r="M483" s="10">
        <v>91.3</v>
      </c>
      <c r="N483" s="8">
        <v>5</v>
      </c>
      <c r="O483" s="6">
        <v>0.15</v>
      </c>
      <c r="P483" s="10">
        <v>66.45</v>
      </c>
      <c r="Q483" s="11">
        <f t="shared" si="44"/>
        <v>24.849999999999994</v>
      </c>
      <c r="R483" t="str">
        <f t="shared" si="47"/>
        <v>profit</v>
      </c>
    </row>
    <row r="484" spans="1:18" ht="15.75" customHeight="1" x14ac:dyDescent="0.4">
      <c r="A484" s="1" t="s">
        <v>985</v>
      </c>
      <c r="B484" s="2">
        <v>45162</v>
      </c>
      <c r="C484" s="2">
        <v>45168</v>
      </c>
      <c r="D484" s="2" t="str">
        <f t="shared" si="45"/>
        <v>2023</v>
      </c>
      <c r="E484" s="2" t="str">
        <f t="shared" si="42"/>
        <v>August</v>
      </c>
      <c r="F484" s="2" t="str">
        <f t="shared" si="46"/>
        <v>Q3</v>
      </c>
      <c r="G484" s="13">
        <f t="shared" si="43"/>
        <v>6</v>
      </c>
      <c r="H484" s="12" t="s">
        <v>42</v>
      </c>
      <c r="I484" s="1" t="s">
        <v>13</v>
      </c>
      <c r="J484" s="1" t="s">
        <v>25</v>
      </c>
      <c r="K484" s="1" t="s">
        <v>43</v>
      </c>
      <c r="L484" s="1" t="s">
        <v>986</v>
      </c>
      <c r="M484" s="10">
        <v>783.83</v>
      </c>
      <c r="N484" s="8">
        <v>6</v>
      </c>
      <c r="O484" s="6">
        <v>0.25</v>
      </c>
      <c r="P484" s="10">
        <v>559.20000000000005</v>
      </c>
      <c r="Q484" s="11">
        <f t="shared" si="44"/>
        <v>224.63</v>
      </c>
      <c r="R484" t="str">
        <f t="shared" si="47"/>
        <v>profit</v>
      </c>
    </row>
    <row r="485" spans="1:18" ht="15.75" customHeight="1" x14ac:dyDescent="0.4">
      <c r="A485" s="1" t="s">
        <v>987</v>
      </c>
      <c r="B485" s="2">
        <v>45611</v>
      </c>
      <c r="C485" s="2">
        <v>45619</v>
      </c>
      <c r="D485" s="2" t="str">
        <f t="shared" si="45"/>
        <v>2024</v>
      </c>
      <c r="E485" s="2" t="str">
        <f t="shared" si="42"/>
        <v>November</v>
      </c>
      <c r="F485" s="2" t="str">
        <f t="shared" si="46"/>
        <v>Q4</v>
      </c>
      <c r="G485" s="13">
        <f t="shared" si="43"/>
        <v>8</v>
      </c>
      <c r="H485" s="12" t="s">
        <v>42</v>
      </c>
      <c r="I485" s="1" t="s">
        <v>24</v>
      </c>
      <c r="J485" s="1" t="s">
        <v>25</v>
      </c>
      <c r="K485" s="1" t="s">
        <v>26</v>
      </c>
      <c r="L485" s="1" t="s">
        <v>988</v>
      </c>
      <c r="M485" s="10">
        <v>167.74</v>
      </c>
      <c r="N485" s="8">
        <v>8</v>
      </c>
      <c r="O485" s="6">
        <v>0.46</v>
      </c>
      <c r="P485" s="10">
        <v>68.319999999999993</v>
      </c>
      <c r="Q485" s="11">
        <f t="shared" si="44"/>
        <v>99.420000000000016</v>
      </c>
      <c r="R485" t="str">
        <f t="shared" si="47"/>
        <v>profit</v>
      </c>
    </row>
    <row r="486" spans="1:18" ht="15.75" customHeight="1" x14ac:dyDescent="0.4">
      <c r="A486" s="1" t="s">
        <v>989</v>
      </c>
      <c r="B486" s="2">
        <v>45410</v>
      </c>
      <c r="C486" s="2">
        <v>45412</v>
      </c>
      <c r="D486" s="2" t="str">
        <f t="shared" si="45"/>
        <v>2024</v>
      </c>
      <c r="E486" s="2" t="str">
        <f t="shared" si="42"/>
        <v>April</v>
      </c>
      <c r="F486" s="2" t="str">
        <f t="shared" si="46"/>
        <v>Q2</v>
      </c>
      <c r="G486" s="13">
        <f t="shared" si="43"/>
        <v>2</v>
      </c>
      <c r="H486" s="12" t="s">
        <v>23</v>
      </c>
      <c r="I486" s="1" t="s">
        <v>50</v>
      </c>
      <c r="J486" s="1" t="s">
        <v>25</v>
      </c>
      <c r="K486" s="1" t="s">
        <v>43</v>
      </c>
      <c r="L486" s="1" t="s">
        <v>896</v>
      </c>
      <c r="M486" s="10">
        <v>648.09</v>
      </c>
      <c r="N486" s="8">
        <v>3</v>
      </c>
      <c r="O486" s="6">
        <v>0.47</v>
      </c>
      <c r="P486" s="10">
        <v>325.87</v>
      </c>
      <c r="Q486" s="11">
        <f t="shared" si="44"/>
        <v>322.22000000000003</v>
      </c>
      <c r="R486" t="str">
        <f t="shared" si="47"/>
        <v>profit</v>
      </c>
    </row>
    <row r="487" spans="1:18" ht="15.75" customHeight="1" x14ac:dyDescent="0.4">
      <c r="A487" s="1" t="s">
        <v>990</v>
      </c>
      <c r="B487" s="2">
        <v>45147</v>
      </c>
      <c r="C487" s="2">
        <v>45154</v>
      </c>
      <c r="D487" s="2" t="str">
        <f t="shared" si="45"/>
        <v>2023</v>
      </c>
      <c r="E487" s="2" t="str">
        <f t="shared" si="42"/>
        <v>August</v>
      </c>
      <c r="F487" s="2" t="str">
        <f t="shared" si="46"/>
        <v>Q3</v>
      </c>
      <c r="G487" s="13">
        <f t="shared" si="43"/>
        <v>7</v>
      </c>
      <c r="H487" s="12" t="s">
        <v>1986</v>
      </c>
      <c r="I487" s="1" t="s">
        <v>18</v>
      </c>
      <c r="J487" s="1" t="s">
        <v>25</v>
      </c>
      <c r="K487" s="1" t="s">
        <v>47</v>
      </c>
      <c r="L487" s="1" t="s">
        <v>854</v>
      </c>
      <c r="M487" s="10">
        <v>713.79</v>
      </c>
      <c r="N487" s="8">
        <v>4</v>
      </c>
      <c r="O487" s="6">
        <v>0.03</v>
      </c>
      <c r="P487" s="10">
        <v>642.44000000000005</v>
      </c>
      <c r="Q487" s="11">
        <f t="shared" si="44"/>
        <v>71.349999999999909</v>
      </c>
      <c r="R487" t="str">
        <f t="shared" si="47"/>
        <v>profit</v>
      </c>
    </row>
    <row r="488" spans="1:18" ht="15.75" customHeight="1" x14ac:dyDescent="0.4">
      <c r="A488" s="1" t="s">
        <v>991</v>
      </c>
      <c r="B488" s="2">
        <v>45504</v>
      </c>
      <c r="C488" s="2">
        <v>45506</v>
      </c>
      <c r="D488" s="2" t="str">
        <f t="shared" si="45"/>
        <v>2024</v>
      </c>
      <c r="E488" s="2" t="str">
        <f t="shared" si="42"/>
        <v>August</v>
      </c>
      <c r="F488" s="2" t="str">
        <f t="shared" si="46"/>
        <v>Q3</v>
      </c>
      <c r="G488" s="13">
        <f t="shared" si="43"/>
        <v>2</v>
      </c>
      <c r="H488" s="12" t="s">
        <v>42</v>
      </c>
      <c r="I488" s="1" t="s">
        <v>59</v>
      </c>
      <c r="J488" s="1" t="s">
        <v>19</v>
      </c>
      <c r="K488" s="1" t="s">
        <v>35</v>
      </c>
      <c r="L488" s="1" t="s">
        <v>992</v>
      </c>
      <c r="M488" s="10">
        <v>822.61</v>
      </c>
      <c r="N488" s="8">
        <v>10</v>
      </c>
      <c r="O488" s="6">
        <v>0.37</v>
      </c>
      <c r="P488" s="10">
        <v>496.34</v>
      </c>
      <c r="Q488" s="11">
        <f t="shared" si="44"/>
        <v>326.27000000000004</v>
      </c>
      <c r="R488" t="str">
        <f t="shared" si="47"/>
        <v>profit</v>
      </c>
    </row>
    <row r="489" spans="1:18" ht="15.75" customHeight="1" x14ac:dyDescent="0.4">
      <c r="A489" s="1" t="s">
        <v>993</v>
      </c>
      <c r="B489" s="2">
        <v>45602</v>
      </c>
      <c r="C489" s="2">
        <v>45603</v>
      </c>
      <c r="D489" s="2" t="str">
        <f t="shared" si="45"/>
        <v>2024</v>
      </c>
      <c r="E489" s="2" t="str">
        <f t="shared" si="42"/>
        <v>November</v>
      </c>
      <c r="F489" s="2" t="str">
        <f t="shared" si="46"/>
        <v>Q4</v>
      </c>
      <c r="G489" s="13">
        <f t="shared" si="43"/>
        <v>1</v>
      </c>
      <c r="H489" s="12" t="s">
        <v>42</v>
      </c>
      <c r="I489" s="1" t="s">
        <v>29</v>
      </c>
      <c r="J489" s="1" t="s">
        <v>19</v>
      </c>
      <c r="K489" s="1" t="s">
        <v>35</v>
      </c>
      <c r="L489" s="1" t="s">
        <v>254</v>
      </c>
      <c r="M489" s="10">
        <v>245.37</v>
      </c>
      <c r="N489" s="8">
        <v>9</v>
      </c>
      <c r="O489" s="6">
        <v>0.47</v>
      </c>
      <c r="P489" s="10">
        <v>106.4</v>
      </c>
      <c r="Q489" s="11">
        <f t="shared" si="44"/>
        <v>138.97</v>
      </c>
      <c r="R489" t="str">
        <f t="shared" si="47"/>
        <v>profit</v>
      </c>
    </row>
    <row r="490" spans="1:18" ht="15.75" customHeight="1" x14ac:dyDescent="0.4">
      <c r="A490" s="1" t="s">
        <v>994</v>
      </c>
      <c r="B490" s="2">
        <v>45508</v>
      </c>
      <c r="C490" s="2">
        <v>45515</v>
      </c>
      <c r="D490" s="2" t="str">
        <f t="shared" si="45"/>
        <v>2024</v>
      </c>
      <c r="E490" s="2" t="str">
        <f t="shared" si="42"/>
        <v>August</v>
      </c>
      <c r="F490" s="2" t="str">
        <f t="shared" si="46"/>
        <v>Q3</v>
      </c>
      <c r="G490" s="13">
        <f t="shared" si="43"/>
        <v>7</v>
      </c>
      <c r="H490" s="12" t="s">
        <v>23</v>
      </c>
      <c r="I490" s="1" t="s">
        <v>46</v>
      </c>
      <c r="J490" s="1" t="s">
        <v>19</v>
      </c>
      <c r="K490" s="1" t="s">
        <v>92</v>
      </c>
      <c r="L490" s="1" t="s">
        <v>995</v>
      </c>
      <c r="M490" s="10">
        <v>558.45000000000005</v>
      </c>
      <c r="N490" s="8">
        <v>7</v>
      </c>
      <c r="O490" s="6">
        <v>0.15</v>
      </c>
      <c r="P490" s="10">
        <v>461.44</v>
      </c>
      <c r="Q490" s="11">
        <f t="shared" si="44"/>
        <v>97.010000000000048</v>
      </c>
      <c r="R490" t="str">
        <f t="shared" si="47"/>
        <v>profit</v>
      </c>
    </row>
    <row r="491" spans="1:18" ht="15.75" customHeight="1" x14ac:dyDescent="0.4">
      <c r="A491" s="1" t="s">
        <v>996</v>
      </c>
      <c r="B491" s="2">
        <v>45354</v>
      </c>
      <c r="C491" s="2">
        <v>45358</v>
      </c>
      <c r="D491" s="2" t="str">
        <f t="shared" si="45"/>
        <v>2024</v>
      </c>
      <c r="E491" s="2" t="str">
        <f t="shared" si="42"/>
        <v>March</v>
      </c>
      <c r="F491" s="2" t="str">
        <f t="shared" si="46"/>
        <v>Q2</v>
      </c>
      <c r="G491" s="13">
        <f t="shared" si="43"/>
        <v>4</v>
      </c>
      <c r="H491" s="12" t="s">
        <v>1986</v>
      </c>
      <c r="I491" s="1" t="s">
        <v>29</v>
      </c>
      <c r="J491" s="1" t="s">
        <v>14</v>
      </c>
      <c r="K491" s="1" t="s">
        <v>54</v>
      </c>
      <c r="L491" s="1" t="s">
        <v>997</v>
      </c>
      <c r="M491" s="10">
        <v>889.98</v>
      </c>
      <c r="N491" s="8">
        <v>5</v>
      </c>
      <c r="O491" s="6">
        <v>0.09</v>
      </c>
      <c r="P491" s="10">
        <v>766.72</v>
      </c>
      <c r="Q491" s="11">
        <f t="shared" si="44"/>
        <v>123.25999999999999</v>
      </c>
      <c r="R491" t="str">
        <f t="shared" si="47"/>
        <v>profit</v>
      </c>
    </row>
    <row r="492" spans="1:18" ht="15.75" customHeight="1" x14ac:dyDescent="0.4">
      <c r="A492" s="1" t="s">
        <v>998</v>
      </c>
      <c r="B492" s="2">
        <v>45428</v>
      </c>
      <c r="C492" s="2">
        <v>45430</v>
      </c>
      <c r="D492" s="2" t="str">
        <f t="shared" si="45"/>
        <v>2024</v>
      </c>
      <c r="E492" s="2" t="str">
        <f t="shared" si="42"/>
        <v>May</v>
      </c>
      <c r="F492" s="2" t="str">
        <f t="shared" si="46"/>
        <v>Q2</v>
      </c>
      <c r="G492" s="13">
        <f t="shared" si="43"/>
        <v>2</v>
      </c>
      <c r="H492" s="12" t="s">
        <v>23</v>
      </c>
      <c r="I492" s="1" t="s">
        <v>59</v>
      </c>
      <c r="J492" s="1" t="s">
        <v>14</v>
      </c>
      <c r="K492" s="1" t="s">
        <v>54</v>
      </c>
      <c r="L492" s="1" t="s">
        <v>999</v>
      </c>
      <c r="M492" s="10">
        <v>958.23</v>
      </c>
      <c r="N492" s="8">
        <v>9</v>
      </c>
      <c r="O492" s="6">
        <v>0.42</v>
      </c>
      <c r="P492" s="10">
        <v>524.41999999999996</v>
      </c>
      <c r="Q492" s="11">
        <f t="shared" si="44"/>
        <v>433.81000000000006</v>
      </c>
      <c r="R492" t="str">
        <f t="shared" si="47"/>
        <v>profit</v>
      </c>
    </row>
    <row r="493" spans="1:18" ht="15.75" customHeight="1" x14ac:dyDescent="0.4">
      <c r="A493" s="1" t="s">
        <v>1000</v>
      </c>
      <c r="B493" s="2">
        <v>44956</v>
      </c>
      <c r="C493" s="2">
        <v>44958</v>
      </c>
      <c r="D493" s="2" t="str">
        <f t="shared" si="45"/>
        <v>2023</v>
      </c>
      <c r="E493" s="2" t="str">
        <f t="shared" si="42"/>
        <v>February</v>
      </c>
      <c r="F493" s="2" t="str">
        <f t="shared" si="46"/>
        <v>Q1</v>
      </c>
      <c r="G493" s="13">
        <f t="shared" si="43"/>
        <v>2</v>
      </c>
      <c r="H493" s="12" t="s">
        <v>23</v>
      </c>
      <c r="I493" s="1" t="s">
        <v>46</v>
      </c>
      <c r="J493" s="1" t="s">
        <v>25</v>
      </c>
      <c r="K493" s="1" t="s">
        <v>43</v>
      </c>
      <c r="L493" s="1" t="s">
        <v>1001</v>
      </c>
      <c r="M493" s="10">
        <v>289.17</v>
      </c>
      <c r="N493" s="8">
        <v>7</v>
      </c>
      <c r="O493" s="6">
        <v>0.1</v>
      </c>
      <c r="P493" s="10">
        <v>246.82</v>
      </c>
      <c r="Q493" s="11">
        <f t="shared" si="44"/>
        <v>42.350000000000023</v>
      </c>
      <c r="R493" t="str">
        <f t="shared" si="47"/>
        <v>profit</v>
      </c>
    </row>
    <row r="494" spans="1:18" ht="15.75" customHeight="1" x14ac:dyDescent="0.4">
      <c r="A494" s="1" t="s">
        <v>1002</v>
      </c>
      <c r="B494" s="2">
        <v>45610</v>
      </c>
      <c r="C494" s="2">
        <v>45617</v>
      </c>
      <c r="D494" s="2" t="str">
        <f t="shared" si="45"/>
        <v>2024</v>
      </c>
      <c r="E494" s="2" t="str">
        <f t="shared" si="42"/>
        <v>November</v>
      </c>
      <c r="F494" s="2" t="str">
        <f t="shared" si="46"/>
        <v>Q4</v>
      </c>
      <c r="G494" s="13">
        <f t="shared" si="43"/>
        <v>7</v>
      </c>
      <c r="H494" s="12" t="s">
        <v>42</v>
      </c>
      <c r="I494" s="1" t="s">
        <v>50</v>
      </c>
      <c r="J494" s="1" t="s">
        <v>19</v>
      </c>
      <c r="K494" s="1" t="s">
        <v>20</v>
      </c>
      <c r="L494" s="1" t="s">
        <v>1003</v>
      </c>
      <c r="M494" s="10">
        <v>839.38</v>
      </c>
      <c r="N494" s="8">
        <v>9</v>
      </c>
      <c r="O494" s="6">
        <v>0.05</v>
      </c>
      <c r="P494" s="10">
        <v>768.18</v>
      </c>
      <c r="Q494" s="11">
        <f t="shared" si="44"/>
        <v>71.200000000000045</v>
      </c>
      <c r="R494" t="str">
        <f t="shared" si="47"/>
        <v>profit</v>
      </c>
    </row>
    <row r="495" spans="1:18" ht="15.75" customHeight="1" x14ac:dyDescent="0.4">
      <c r="A495" s="1" t="s">
        <v>1004</v>
      </c>
      <c r="B495" s="2">
        <v>44914</v>
      </c>
      <c r="C495" s="2">
        <v>44917</v>
      </c>
      <c r="D495" s="2" t="str">
        <f t="shared" si="45"/>
        <v>2022</v>
      </c>
      <c r="E495" s="2" t="str">
        <f t="shared" si="42"/>
        <v>December</v>
      </c>
      <c r="F495" s="2" t="str">
        <f t="shared" si="46"/>
        <v>Q4</v>
      </c>
      <c r="G495" s="13">
        <f t="shared" si="43"/>
        <v>3</v>
      </c>
      <c r="H495" s="12" t="s">
        <v>1987</v>
      </c>
      <c r="I495" s="1" t="s">
        <v>13</v>
      </c>
      <c r="J495" s="1" t="s">
        <v>25</v>
      </c>
      <c r="K495" s="1" t="s">
        <v>43</v>
      </c>
      <c r="L495" s="1" t="s">
        <v>1005</v>
      </c>
      <c r="M495" s="10">
        <v>383.88</v>
      </c>
      <c r="N495" s="8">
        <v>6</v>
      </c>
      <c r="O495" s="6">
        <v>0.19</v>
      </c>
      <c r="P495" s="10">
        <v>271.52</v>
      </c>
      <c r="Q495" s="11">
        <f t="shared" si="44"/>
        <v>112.36000000000001</v>
      </c>
      <c r="R495" t="str">
        <f t="shared" si="47"/>
        <v>profit</v>
      </c>
    </row>
    <row r="496" spans="1:18" ht="15.75" customHeight="1" x14ac:dyDescent="0.4">
      <c r="A496" s="1" t="s">
        <v>1006</v>
      </c>
      <c r="B496" s="2">
        <v>45024</v>
      </c>
      <c r="C496" s="2">
        <v>45025</v>
      </c>
      <c r="D496" s="2" t="str">
        <f t="shared" si="45"/>
        <v>2023</v>
      </c>
      <c r="E496" s="2" t="str">
        <f t="shared" si="42"/>
        <v>April</v>
      </c>
      <c r="F496" s="2" t="str">
        <f t="shared" si="46"/>
        <v>Q2</v>
      </c>
      <c r="G496" s="13">
        <f t="shared" si="43"/>
        <v>1</v>
      </c>
      <c r="H496" s="12" t="s">
        <v>1987</v>
      </c>
      <c r="I496" s="1" t="s">
        <v>13</v>
      </c>
      <c r="J496" s="1" t="s">
        <v>19</v>
      </c>
      <c r="K496" s="1" t="s">
        <v>35</v>
      </c>
      <c r="L496" s="1" t="s">
        <v>1007</v>
      </c>
      <c r="M496" s="10">
        <v>417.16</v>
      </c>
      <c r="N496" s="8">
        <v>2</v>
      </c>
      <c r="O496" s="6">
        <v>0.16</v>
      </c>
      <c r="P496" s="10">
        <v>303.77</v>
      </c>
      <c r="Q496" s="11">
        <f t="shared" si="44"/>
        <v>113.39000000000004</v>
      </c>
      <c r="R496" t="str">
        <f t="shared" si="47"/>
        <v>profit</v>
      </c>
    </row>
    <row r="497" spans="1:18" ht="15.75" customHeight="1" x14ac:dyDescent="0.4">
      <c r="A497" s="1" t="s">
        <v>1008</v>
      </c>
      <c r="B497" s="2">
        <v>45096</v>
      </c>
      <c r="C497" s="2">
        <v>45100</v>
      </c>
      <c r="D497" s="2" t="str">
        <f t="shared" si="45"/>
        <v>2023</v>
      </c>
      <c r="E497" s="2" t="str">
        <f t="shared" si="42"/>
        <v>June</v>
      </c>
      <c r="F497" s="2" t="str">
        <f t="shared" si="46"/>
        <v>Q3</v>
      </c>
      <c r="G497" s="13">
        <f t="shared" si="43"/>
        <v>4</v>
      </c>
      <c r="H497" s="12" t="s">
        <v>1986</v>
      </c>
      <c r="I497" s="1" t="s">
        <v>29</v>
      </c>
      <c r="J497" s="1" t="s">
        <v>19</v>
      </c>
      <c r="K497" s="1" t="s">
        <v>35</v>
      </c>
      <c r="L497" s="1" t="s">
        <v>1009</v>
      </c>
      <c r="M497" s="10">
        <v>937.34</v>
      </c>
      <c r="N497" s="8">
        <v>4</v>
      </c>
      <c r="O497" s="6">
        <v>0.48</v>
      </c>
      <c r="P497" s="10">
        <v>464.24</v>
      </c>
      <c r="Q497" s="11">
        <f t="shared" si="44"/>
        <v>473.1</v>
      </c>
      <c r="R497" t="str">
        <f t="shared" si="47"/>
        <v>profit</v>
      </c>
    </row>
    <row r="498" spans="1:18" ht="15.75" customHeight="1" x14ac:dyDescent="0.4">
      <c r="A498" s="1" t="s">
        <v>1010</v>
      </c>
      <c r="B498" s="2">
        <v>44927</v>
      </c>
      <c r="C498" s="2">
        <v>44933</v>
      </c>
      <c r="D498" s="2" t="str">
        <f t="shared" si="45"/>
        <v>2023</v>
      </c>
      <c r="E498" s="2" t="str">
        <f t="shared" si="42"/>
        <v>January</v>
      </c>
      <c r="F498" s="2" t="str">
        <f t="shared" si="46"/>
        <v>Q1</v>
      </c>
      <c r="G498" s="13">
        <f t="shared" si="43"/>
        <v>6</v>
      </c>
      <c r="H498" s="12" t="s">
        <v>1987</v>
      </c>
      <c r="I498" s="1" t="s">
        <v>13</v>
      </c>
      <c r="J498" s="1" t="s">
        <v>14</v>
      </c>
      <c r="K498" s="1" t="s">
        <v>54</v>
      </c>
      <c r="L498" s="1" t="s">
        <v>971</v>
      </c>
      <c r="M498" s="10">
        <v>376.79</v>
      </c>
      <c r="N498" s="8">
        <v>1</v>
      </c>
      <c r="O498" s="6">
        <v>0.2</v>
      </c>
      <c r="P498" s="10">
        <v>281.19</v>
      </c>
      <c r="Q498" s="11">
        <f t="shared" si="44"/>
        <v>95.600000000000023</v>
      </c>
      <c r="R498" t="str">
        <f t="shared" si="47"/>
        <v>profit</v>
      </c>
    </row>
    <row r="499" spans="1:18" ht="15.75" customHeight="1" x14ac:dyDescent="0.4">
      <c r="A499" s="1" t="s">
        <v>1011</v>
      </c>
      <c r="C499" s="2">
        <v>45139</v>
      </c>
      <c r="D499" s="2" t="str">
        <f t="shared" si="45"/>
        <v/>
      </c>
      <c r="E499" s="2" t="str">
        <f t="shared" si="42"/>
        <v>August</v>
      </c>
      <c r="F499" s="2" t="str">
        <f t="shared" si="46"/>
        <v>Q3</v>
      </c>
      <c r="G499" s="13">
        <f t="shared" si="43"/>
        <v>45139</v>
      </c>
      <c r="H499" s="12" t="s">
        <v>1988</v>
      </c>
      <c r="I499" s="1" t="s">
        <v>18</v>
      </c>
      <c r="J499" s="1" t="s">
        <v>25</v>
      </c>
      <c r="K499" s="1" t="s">
        <v>26</v>
      </c>
      <c r="L499" s="1" t="s">
        <v>1012</v>
      </c>
      <c r="M499" s="11" t="s">
        <v>1989</v>
      </c>
      <c r="N499" s="8">
        <v>4</v>
      </c>
      <c r="O499" s="6">
        <v>0.46</v>
      </c>
      <c r="P499" s="10">
        <v>217.14</v>
      </c>
      <c r="Q499" s="11" t="e">
        <f t="shared" si="44"/>
        <v>#VALUE!</v>
      </c>
      <c r="R499" t="str">
        <f t="shared" si="47"/>
        <v>profit</v>
      </c>
    </row>
    <row r="500" spans="1:18" ht="15.75" customHeight="1" x14ac:dyDescent="0.4">
      <c r="A500" s="1" t="s">
        <v>1013</v>
      </c>
      <c r="B500" s="2">
        <v>45143</v>
      </c>
      <c r="C500" s="2">
        <v>45145</v>
      </c>
      <c r="D500" s="2" t="str">
        <f t="shared" si="45"/>
        <v>2023</v>
      </c>
      <c r="E500" s="2" t="str">
        <f t="shared" si="42"/>
        <v>August</v>
      </c>
      <c r="F500" s="2" t="str">
        <f t="shared" si="46"/>
        <v>Q3</v>
      </c>
      <c r="G500" s="13">
        <f t="shared" si="43"/>
        <v>2</v>
      </c>
      <c r="H500" s="12" t="s">
        <v>1986</v>
      </c>
      <c r="I500" s="1" t="s">
        <v>18</v>
      </c>
      <c r="J500" s="1" t="s">
        <v>19</v>
      </c>
      <c r="K500" s="1" t="s">
        <v>35</v>
      </c>
      <c r="L500" s="1" t="s">
        <v>1014</v>
      </c>
      <c r="M500" s="10">
        <v>806.91</v>
      </c>
      <c r="N500" s="8">
        <v>4</v>
      </c>
      <c r="O500" s="6">
        <v>0.08</v>
      </c>
      <c r="P500" s="10">
        <v>695.51</v>
      </c>
      <c r="Q500" s="11">
        <f t="shared" si="44"/>
        <v>111.39999999999998</v>
      </c>
      <c r="R500" t="str">
        <f t="shared" si="47"/>
        <v>profit</v>
      </c>
    </row>
    <row r="501" spans="1:18" ht="15.75" customHeight="1" x14ac:dyDescent="0.4">
      <c r="A501" s="1" t="s">
        <v>1015</v>
      </c>
      <c r="B501" s="2">
        <v>44912</v>
      </c>
      <c r="C501" s="2">
        <v>44913</v>
      </c>
      <c r="D501" s="2" t="str">
        <f t="shared" si="45"/>
        <v>2022</v>
      </c>
      <c r="E501" s="2" t="str">
        <f t="shared" si="42"/>
        <v>December</v>
      </c>
      <c r="F501" s="2" t="str">
        <f t="shared" si="46"/>
        <v>Q4</v>
      </c>
      <c r="G501" s="13">
        <f t="shared" si="43"/>
        <v>1</v>
      </c>
      <c r="H501" s="12" t="s">
        <v>1986</v>
      </c>
      <c r="I501" s="1" t="s">
        <v>53</v>
      </c>
      <c r="J501" s="1" t="s">
        <v>19</v>
      </c>
      <c r="K501" s="1" t="s">
        <v>35</v>
      </c>
      <c r="L501" s="1" t="s">
        <v>1016</v>
      </c>
      <c r="M501" s="10">
        <v>438.65</v>
      </c>
      <c r="N501" s="8">
        <v>6</v>
      </c>
      <c r="O501" s="6">
        <v>0.1</v>
      </c>
      <c r="P501" s="10">
        <v>358.92</v>
      </c>
      <c r="Q501" s="11">
        <f t="shared" si="44"/>
        <v>79.729999999999961</v>
      </c>
      <c r="R501" t="str">
        <f t="shared" si="47"/>
        <v>profit</v>
      </c>
    </row>
    <row r="502" spans="1:18" ht="15.75" customHeight="1" x14ac:dyDescent="0.4">
      <c r="A502" s="1" t="s">
        <v>1017</v>
      </c>
      <c r="B502" s="2">
        <v>45401</v>
      </c>
      <c r="C502" s="2">
        <v>45405</v>
      </c>
      <c r="D502" s="2" t="str">
        <f t="shared" si="45"/>
        <v>2024</v>
      </c>
      <c r="E502" s="2" t="str">
        <f t="shared" si="42"/>
        <v>April</v>
      </c>
      <c r="F502" s="2" t="str">
        <f t="shared" si="46"/>
        <v>Q2</v>
      </c>
      <c r="G502" s="13">
        <f t="shared" si="43"/>
        <v>4</v>
      </c>
      <c r="H502" s="12" t="s">
        <v>1986</v>
      </c>
      <c r="I502" s="1" t="s">
        <v>18</v>
      </c>
      <c r="J502" s="1" t="s">
        <v>14</v>
      </c>
      <c r="K502" s="1" t="s">
        <v>15</v>
      </c>
      <c r="L502" s="1" t="s">
        <v>1018</v>
      </c>
      <c r="M502" s="10">
        <v>703.53</v>
      </c>
      <c r="N502" s="8">
        <v>7</v>
      </c>
      <c r="O502" s="6">
        <v>0.11</v>
      </c>
      <c r="P502" s="10">
        <v>613.36</v>
      </c>
      <c r="Q502" s="11">
        <f t="shared" si="44"/>
        <v>90.169999999999959</v>
      </c>
      <c r="R502" t="str">
        <f t="shared" si="47"/>
        <v>profit</v>
      </c>
    </row>
    <row r="503" spans="1:18" ht="15.75" customHeight="1" x14ac:dyDescent="0.4">
      <c r="A503" s="1" t="s">
        <v>1019</v>
      </c>
      <c r="B503" s="2">
        <v>45471</v>
      </c>
      <c r="C503" s="2">
        <v>45472</v>
      </c>
      <c r="D503" s="2" t="str">
        <f t="shared" si="45"/>
        <v>2024</v>
      </c>
      <c r="E503" s="2" t="str">
        <f t="shared" si="42"/>
        <v>June</v>
      </c>
      <c r="F503" s="2" t="str">
        <f t="shared" si="46"/>
        <v>Q3</v>
      </c>
      <c r="G503" s="13">
        <f t="shared" si="43"/>
        <v>1</v>
      </c>
      <c r="H503" s="12" t="s">
        <v>1987</v>
      </c>
      <c r="I503" s="1" t="s">
        <v>29</v>
      </c>
      <c r="J503" s="1" t="s">
        <v>19</v>
      </c>
      <c r="K503" s="1" t="s">
        <v>92</v>
      </c>
      <c r="L503" s="1" t="s">
        <v>1020</v>
      </c>
      <c r="M503" s="10">
        <v>505.98</v>
      </c>
      <c r="N503" s="8">
        <v>9</v>
      </c>
      <c r="O503" s="6">
        <v>0.08</v>
      </c>
      <c r="P503" s="10">
        <v>433.07</v>
      </c>
      <c r="Q503" s="11">
        <f t="shared" si="44"/>
        <v>72.910000000000025</v>
      </c>
      <c r="R503" t="str">
        <f t="shared" si="47"/>
        <v>profit</v>
      </c>
    </row>
    <row r="504" spans="1:18" ht="15.75" customHeight="1" x14ac:dyDescent="0.4">
      <c r="A504" s="1" t="s">
        <v>1021</v>
      </c>
      <c r="B504" s="2">
        <v>45088</v>
      </c>
      <c r="C504" s="2">
        <v>45094</v>
      </c>
      <c r="D504" s="2" t="str">
        <f t="shared" si="45"/>
        <v>2023</v>
      </c>
      <c r="E504" s="2" t="str">
        <f t="shared" si="42"/>
        <v>June</v>
      </c>
      <c r="F504" s="2" t="str">
        <f t="shared" si="46"/>
        <v>Q3</v>
      </c>
      <c r="G504" s="13">
        <f t="shared" si="43"/>
        <v>6</v>
      </c>
      <c r="H504" s="12" t="s">
        <v>1987</v>
      </c>
      <c r="I504" s="1" t="s">
        <v>18</v>
      </c>
      <c r="J504" s="1" t="s">
        <v>14</v>
      </c>
      <c r="K504" s="1" t="s">
        <v>15</v>
      </c>
      <c r="L504" s="1" t="s">
        <v>1022</v>
      </c>
      <c r="M504" s="10">
        <v>77.12</v>
      </c>
      <c r="N504" s="8">
        <v>9</v>
      </c>
      <c r="O504" s="6">
        <v>0.32</v>
      </c>
      <c r="P504" s="10">
        <v>8.6</v>
      </c>
      <c r="Q504" s="11">
        <f t="shared" si="44"/>
        <v>68.52000000000001</v>
      </c>
      <c r="R504" t="str">
        <f t="shared" si="47"/>
        <v>profit</v>
      </c>
    </row>
    <row r="505" spans="1:18" ht="15.75" customHeight="1" x14ac:dyDescent="0.4">
      <c r="A505" s="1" t="s">
        <v>1023</v>
      </c>
      <c r="B505" s="2">
        <v>45576</v>
      </c>
      <c r="C505" s="2">
        <v>45584</v>
      </c>
      <c r="D505" s="2" t="str">
        <f t="shared" si="45"/>
        <v>2024</v>
      </c>
      <c r="E505" s="2" t="str">
        <f t="shared" si="42"/>
        <v>October</v>
      </c>
      <c r="F505" s="2" t="str">
        <f t="shared" si="46"/>
        <v>Q4</v>
      </c>
      <c r="G505" s="13">
        <f t="shared" si="43"/>
        <v>8</v>
      </c>
      <c r="H505" s="12" t="s">
        <v>42</v>
      </c>
      <c r="I505" s="1" t="s">
        <v>50</v>
      </c>
      <c r="J505" s="1" t="s">
        <v>25</v>
      </c>
      <c r="K505" s="1" t="s">
        <v>26</v>
      </c>
      <c r="L505" s="1" t="s">
        <v>1024</v>
      </c>
      <c r="M505" s="10">
        <v>202.08</v>
      </c>
      <c r="N505" s="8">
        <v>5</v>
      </c>
      <c r="O505" s="6">
        <v>0.12</v>
      </c>
      <c r="P505" s="10">
        <v>158.97</v>
      </c>
      <c r="Q505" s="11">
        <f t="shared" si="44"/>
        <v>43.110000000000014</v>
      </c>
      <c r="R505" t="str">
        <f t="shared" si="47"/>
        <v>profit</v>
      </c>
    </row>
    <row r="506" spans="1:18" ht="15.75" customHeight="1" x14ac:dyDescent="0.4">
      <c r="A506" s="1" t="s">
        <v>1025</v>
      </c>
      <c r="B506" s="2">
        <v>45224</v>
      </c>
      <c r="C506" s="2">
        <v>45228</v>
      </c>
      <c r="D506" s="2" t="str">
        <f t="shared" si="45"/>
        <v>2023</v>
      </c>
      <c r="E506" s="2" t="str">
        <f t="shared" si="42"/>
        <v>October</v>
      </c>
      <c r="F506" s="2" t="str">
        <f t="shared" si="46"/>
        <v>Q4</v>
      </c>
      <c r="G506" s="13">
        <f t="shared" si="43"/>
        <v>4</v>
      </c>
      <c r="H506" s="12" t="s">
        <v>1986</v>
      </c>
      <c r="I506" s="1" t="s">
        <v>53</v>
      </c>
      <c r="J506" s="1" t="s">
        <v>14</v>
      </c>
      <c r="K506" s="1" t="s">
        <v>30</v>
      </c>
      <c r="L506" s="1" t="s">
        <v>317</v>
      </c>
      <c r="M506" s="10">
        <v>366.68</v>
      </c>
      <c r="N506" s="8">
        <v>1</v>
      </c>
      <c r="O506" s="6">
        <v>0.38</v>
      </c>
      <c r="P506" s="10">
        <v>201.57</v>
      </c>
      <c r="Q506" s="11">
        <f t="shared" si="44"/>
        <v>165.11</v>
      </c>
      <c r="R506" t="str">
        <f t="shared" si="47"/>
        <v>profit</v>
      </c>
    </row>
    <row r="507" spans="1:18" ht="15.75" customHeight="1" x14ac:dyDescent="0.4">
      <c r="A507" s="1" t="s">
        <v>1026</v>
      </c>
      <c r="B507" s="2">
        <v>45455</v>
      </c>
      <c r="C507" s="2">
        <v>45462</v>
      </c>
      <c r="D507" s="2" t="str">
        <f t="shared" si="45"/>
        <v>2024</v>
      </c>
      <c r="E507" s="2" t="str">
        <f t="shared" si="42"/>
        <v>June</v>
      </c>
      <c r="F507" s="2" t="str">
        <f t="shared" si="46"/>
        <v>Q3</v>
      </c>
      <c r="G507" s="13">
        <f t="shared" si="43"/>
        <v>7</v>
      </c>
      <c r="H507" s="12" t="s">
        <v>1987</v>
      </c>
      <c r="I507" s="1" t="s">
        <v>29</v>
      </c>
      <c r="J507" s="1" t="s">
        <v>25</v>
      </c>
      <c r="K507" s="1" t="s">
        <v>47</v>
      </c>
      <c r="L507" s="1" t="s">
        <v>1027</v>
      </c>
      <c r="M507" s="10">
        <v>152.66999999999999</v>
      </c>
      <c r="N507" s="8">
        <v>2</v>
      </c>
      <c r="O507" s="6">
        <v>0.28999999999999998</v>
      </c>
      <c r="P507" s="10">
        <v>75.569999999999993</v>
      </c>
      <c r="Q507" s="11">
        <f t="shared" si="44"/>
        <v>77.099999999999994</v>
      </c>
      <c r="R507" t="str">
        <f t="shared" si="47"/>
        <v>profit</v>
      </c>
    </row>
    <row r="508" spans="1:18" ht="15.75" customHeight="1" x14ac:dyDescent="0.4">
      <c r="A508" s="1" t="s">
        <v>1028</v>
      </c>
      <c r="B508" s="2">
        <v>45113</v>
      </c>
      <c r="C508" s="2">
        <v>45121</v>
      </c>
      <c r="D508" s="2" t="str">
        <f t="shared" si="45"/>
        <v>2023</v>
      </c>
      <c r="E508" s="2" t="str">
        <f t="shared" si="42"/>
        <v>July</v>
      </c>
      <c r="F508" s="2" t="str">
        <f t="shared" si="46"/>
        <v>Q3</v>
      </c>
      <c r="G508" s="13">
        <f t="shared" si="43"/>
        <v>8</v>
      </c>
      <c r="H508" s="12" t="s">
        <v>1986</v>
      </c>
      <c r="I508" s="1" t="s">
        <v>13</v>
      </c>
      <c r="J508" s="1" t="s">
        <v>25</v>
      </c>
      <c r="K508" s="1" t="s">
        <v>47</v>
      </c>
      <c r="L508" s="1" t="s">
        <v>1029</v>
      </c>
      <c r="M508" s="10">
        <v>461.9</v>
      </c>
      <c r="N508" s="8">
        <v>7</v>
      </c>
      <c r="O508" s="6">
        <v>0.04</v>
      </c>
      <c r="P508" s="10">
        <v>398.84</v>
      </c>
      <c r="Q508" s="11">
        <f t="shared" si="44"/>
        <v>63.06</v>
      </c>
      <c r="R508" t="str">
        <f t="shared" si="47"/>
        <v>profit</v>
      </c>
    </row>
    <row r="509" spans="1:18" ht="15.75" customHeight="1" x14ac:dyDescent="0.4">
      <c r="A509" s="1" t="s">
        <v>1030</v>
      </c>
      <c r="B509" s="2">
        <v>45268</v>
      </c>
      <c r="C509" s="2">
        <v>45277</v>
      </c>
      <c r="D509" s="2" t="str">
        <f t="shared" si="45"/>
        <v>2023</v>
      </c>
      <c r="E509" s="2" t="str">
        <f t="shared" si="42"/>
        <v>December</v>
      </c>
      <c r="F509" s="2" t="str">
        <f t="shared" si="46"/>
        <v>Q4</v>
      </c>
      <c r="G509" s="13">
        <f t="shared" si="43"/>
        <v>9</v>
      </c>
      <c r="H509" s="12" t="s">
        <v>1986</v>
      </c>
      <c r="I509" s="1" t="s">
        <v>13</v>
      </c>
      <c r="J509" s="1" t="s">
        <v>19</v>
      </c>
      <c r="K509" s="1" t="s">
        <v>92</v>
      </c>
      <c r="L509" s="1" t="s">
        <v>1031</v>
      </c>
      <c r="M509" s="10">
        <v>304.75</v>
      </c>
      <c r="N509" s="8">
        <v>9</v>
      </c>
      <c r="O509" s="6">
        <v>0.4</v>
      </c>
      <c r="P509" s="10">
        <v>155.62</v>
      </c>
      <c r="Q509" s="11">
        <f t="shared" si="44"/>
        <v>149.13</v>
      </c>
      <c r="R509" t="str">
        <f t="shared" si="47"/>
        <v>profit</v>
      </c>
    </row>
    <row r="510" spans="1:18" ht="15.75" customHeight="1" x14ac:dyDescent="0.4">
      <c r="A510" s="1" t="s">
        <v>1032</v>
      </c>
      <c r="B510" s="2">
        <v>45129</v>
      </c>
      <c r="C510" s="2">
        <v>45137</v>
      </c>
      <c r="D510" s="2" t="str">
        <f t="shared" si="45"/>
        <v>2023</v>
      </c>
      <c r="E510" s="2" t="str">
        <f t="shared" si="42"/>
        <v>July</v>
      </c>
      <c r="F510" s="2" t="str">
        <f t="shared" si="46"/>
        <v>Q3</v>
      </c>
      <c r="G510" s="13">
        <f t="shared" si="43"/>
        <v>8</v>
      </c>
      <c r="H510" s="12" t="s">
        <v>1987</v>
      </c>
      <c r="I510" s="1" t="s">
        <v>13</v>
      </c>
      <c r="J510" s="1" t="s">
        <v>19</v>
      </c>
      <c r="K510" s="1" t="s">
        <v>35</v>
      </c>
      <c r="L510" s="1" t="s">
        <v>1033</v>
      </c>
      <c r="M510" s="10">
        <v>511.74</v>
      </c>
      <c r="N510" s="8">
        <v>4</v>
      </c>
      <c r="O510" s="6">
        <v>0.21</v>
      </c>
      <c r="P510" s="10">
        <v>369.35</v>
      </c>
      <c r="Q510" s="11">
        <f t="shared" si="44"/>
        <v>142.38999999999999</v>
      </c>
      <c r="R510" t="str">
        <f t="shared" si="47"/>
        <v>profit</v>
      </c>
    </row>
    <row r="511" spans="1:18" ht="15.75" customHeight="1" x14ac:dyDescent="0.4">
      <c r="A511" s="1" t="s">
        <v>1034</v>
      </c>
      <c r="B511" s="2">
        <v>45151</v>
      </c>
      <c r="C511" s="2">
        <v>45158</v>
      </c>
      <c r="D511" s="2" t="str">
        <f t="shared" si="45"/>
        <v>2023</v>
      </c>
      <c r="E511" s="2" t="str">
        <f t="shared" si="42"/>
        <v>August</v>
      </c>
      <c r="F511" s="2" t="str">
        <f t="shared" si="46"/>
        <v>Q3</v>
      </c>
      <c r="G511" s="13">
        <f t="shared" si="43"/>
        <v>7</v>
      </c>
      <c r="H511" s="12" t="s">
        <v>23</v>
      </c>
      <c r="I511" s="1" t="s">
        <v>18</v>
      </c>
      <c r="J511" s="1" t="s">
        <v>25</v>
      </c>
      <c r="K511" s="1" t="s">
        <v>43</v>
      </c>
      <c r="L511" s="1" t="s">
        <v>1035</v>
      </c>
      <c r="M511" s="10">
        <v>755.85</v>
      </c>
      <c r="N511" s="8">
        <v>1</v>
      </c>
      <c r="O511" s="6">
        <v>0.2</v>
      </c>
      <c r="P511" s="10">
        <v>582.19000000000005</v>
      </c>
      <c r="Q511" s="11">
        <f t="shared" si="44"/>
        <v>173.65999999999997</v>
      </c>
      <c r="R511" t="str">
        <f t="shared" si="47"/>
        <v>profit</v>
      </c>
    </row>
    <row r="512" spans="1:18" ht="15.75" customHeight="1" x14ac:dyDescent="0.4">
      <c r="A512" s="1" t="s">
        <v>1036</v>
      </c>
      <c r="B512" s="2">
        <v>45504</v>
      </c>
      <c r="C512" s="2">
        <v>45507</v>
      </c>
      <c r="D512" s="2" t="str">
        <f t="shared" si="45"/>
        <v>2024</v>
      </c>
      <c r="E512" s="2" t="str">
        <f t="shared" si="42"/>
        <v>August</v>
      </c>
      <c r="F512" s="2" t="str">
        <f t="shared" si="46"/>
        <v>Q3</v>
      </c>
      <c r="G512" s="13">
        <f t="shared" si="43"/>
        <v>3</v>
      </c>
      <c r="H512" s="12" t="s">
        <v>23</v>
      </c>
      <c r="I512" s="1" t="s">
        <v>59</v>
      </c>
      <c r="J512" s="1" t="s">
        <v>25</v>
      </c>
      <c r="K512" s="1" t="s">
        <v>43</v>
      </c>
      <c r="L512" s="1" t="s">
        <v>1037</v>
      </c>
      <c r="M512" s="10">
        <v>871.42</v>
      </c>
      <c r="N512" s="8">
        <v>4</v>
      </c>
      <c r="O512" s="6">
        <v>0.42</v>
      </c>
      <c r="P512" s="10">
        <v>461.56</v>
      </c>
      <c r="Q512" s="11">
        <f t="shared" si="44"/>
        <v>409.85999999999996</v>
      </c>
      <c r="R512" t="str">
        <f t="shared" si="47"/>
        <v>profit</v>
      </c>
    </row>
    <row r="513" spans="1:18" ht="15.75" customHeight="1" x14ac:dyDescent="0.4">
      <c r="A513" s="1" t="s">
        <v>1040</v>
      </c>
      <c r="B513" s="2">
        <v>45577</v>
      </c>
      <c r="C513" s="2">
        <v>45577</v>
      </c>
      <c r="D513" s="2" t="str">
        <f t="shared" si="45"/>
        <v>2024</v>
      </c>
      <c r="E513" s="2" t="str">
        <f t="shared" si="42"/>
        <v>October</v>
      </c>
      <c r="F513" s="2" t="str">
        <f t="shared" si="46"/>
        <v>Q4</v>
      </c>
      <c r="G513" s="13">
        <f t="shared" si="43"/>
        <v>0</v>
      </c>
      <c r="H513" s="12" t="s">
        <v>42</v>
      </c>
      <c r="I513" s="1" t="s">
        <v>18</v>
      </c>
      <c r="J513" s="1" t="s">
        <v>25</v>
      </c>
      <c r="K513" s="1" t="s">
        <v>43</v>
      </c>
      <c r="L513" s="1" t="s">
        <v>1041</v>
      </c>
      <c r="M513" s="10">
        <v>527.23</v>
      </c>
      <c r="N513" s="8">
        <v>7</v>
      </c>
      <c r="O513" s="6">
        <v>0.02</v>
      </c>
      <c r="P513" s="10">
        <v>480.17</v>
      </c>
      <c r="Q513" s="11">
        <f t="shared" si="44"/>
        <v>47.06</v>
      </c>
      <c r="R513" t="str">
        <f t="shared" si="47"/>
        <v>profit</v>
      </c>
    </row>
    <row r="514" spans="1:18" ht="15.75" customHeight="1" x14ac:dyDescent="0.4">
      <c r="A514" s="1" t="s">
        <v>1042</v>
      </c>
      <c r="B514" s="2">
        <v>44943</v>
      </c>
      <c r="C514" s="2">
        <v>44948</v>
      </c>
      <c r="D514" s="2" t="str">
        <f t="shared" si="45"/>
        <v>2023</v>
      </c>
      <c r="E514" s="2" t="str">
        <f t="shared" ref="E514:E577" si="48">TEXT(C514, "MMMM")</f>
        <v>January</v>
      </c>
      <c r="F514" s="2" t="str">
        <f t="shared" si="46"/>
        <v>Q1</v>
      </c>
      <c r="G514" s="13">
        <f t="shared" ref="G514:G577" si="49">DATEDIF(B514,C514, "D")</f>
        <v>5</v>
      </c>
      <c r="H514" s="12" t="s">
        <v>23</v>
      </c>
      <c r="I514" s="1" t="s">
        <v>18</v>
      </c>
      <c r="J514" s="1" t="s">
        <v>19</v>
      </c>
      <c r="K514" s="1" t="s">
        <v>35</v>
      </c>
      <c r="L514" s="1" t="s">
        <v>1043</v>
      </c>
      <c r="M514" s="10">
        <v>102.78</v>
      </c>
      <c r="N514" s="8">
        <v>1</v>
      </c>
      <c r="O514" s="6">
        <v>0.4</v>
      </c>
      <c r="P514" s="10">
        <v>38.450000000000003</v>
      </c>
      <c r="Q514" s="11">
        <f t="shared" ref="Q514:Q577" si="50">M514 - P514</f>
        <v>64.33</v>
      </c>
      <c r="R514" t="str">
        <f t="shared" si="47"/>
        <v>profit</v>
      </c>
    </row>
    <row r="515" spans="1:18" s="14" customFormat="1" ht="15.75" customHeight="1" x14ac:dyDescent="0.4">
      <c r="A515" s="15" t="s">
        <v>1044</v>
      </c>
      <c r="B515" s="16">
        <v>44939</v>
      </c>
      <c r="C515" s="17">
        <v>45180</v>
      </c>
      <c r="D515" s="2" t="str">
        <f t="shared" ref="D515:D578" si="51">IF(B515="","",TEXT(B515,"YYYY"))</f>
        <v>2023</v>
      </c>
      <c r="E515" s="17" t="str">
        <f t="shared" si="48"/>
        <v>September</v>
      </c>
      <c r="F515" s="17" t="str">
        <f t="shared" ref="F515:F578" si="52">IF(MONTH(C515)&lt;3,"Q1",IF(MONTH(C515)&lt;6,"Q2",IF(MONTH(C515)&lt;9,"Q3","Q4")))</f>
        <v>Q4</v>
      </c>
      <c r="G515" s="18">
        <f t="shared" si="49"/>
        <v>241</v>
      </c>
      <c r="H515" s="19" t="s">
        <v>23</v>
      </c>
      <c r="I515" s="15" t="s">
        <v>53</v>
      </c>
      <c r="J515" s="15" t="s">
        <v>14</v>
      </c>
      <c r="K515" s="15" t="s">
        <v>30</v>
      </c>
      <c r="L515" s="15" t="s">
        <v>1045</v>
      </c>
      <c r="M515" s="20">
        <v>807.07</v>
      </c>
      <c r="N515" s="21">
        <v>1</v>
      </c>
      <c r="O515" s="22">
        <v>0.28000000000000003</v>
      </c>
      <c r="P515" s="20">
        <v>532.47</v>
      </c>
      <c r="Q515" s="23">
        <f t="shared" si="50"/>
        <v>274.60000000000002</v>
      </c>
      <c r="R515" s="14" t="str">
        <f t="shared" si="47"/>
        <v>profit</v>
      </c>
    </row>
    <row r="516" spans="1:18" ht="15.75" customHeight="1" x14ac:dyDescent="0.4">
      <c r="A516" s="1" t="s">
        <v>1046</v>
      </c>
      <c r="B516" s="2">
        <v>45124</v>
      </c>
      <c r="C516" s="2">
        <v>45128</v>
      </c>
      <c r="D516" s="2" t="str">
        <f t="shared" si="51"/>
        <v>2023</v>
      </c>
      <c r="E516" s="2" t="str">
        <f t="shared" si="48"/>
        <v>July</v>
      </c>
      <c r="F516" s="2" t="str">
        <f t="shared" si="52"/>
        <v>Q3</v>
      </c>
      <c r="G516" s="13">
        <f t="shared" si="49"/>
        <v>4</v>
      </c>
      <c r="H516" s="12" t="s">
        <v>42</v>
      </c>
      <c r="I516" s="1" t="s">
        <v>59</v>
      </c>
      <c r="J516" s="1" t="s">
        <v>14</v>
      </c>
      <c r="K516" s="1" t="s">
        <v>54</v>
      </c>
      <c r="L516" s="1" t="s">
        <v>1047</v>
      </c>
      <c r="M516" s="10">
        <v>361.81</v>
      </c>
      <c r="N516" s="8">
        <v>3</v>
      </c>
      <c r="O516" s="6">
        <v>0.41</v>
      </c>
      <c r="P516" s="10">
        <v>195.15</v>
      </c>
      <c r="Q516" s="11">
        <f t="shared" si="50"/>
        <v>166.66</v>
      </c>
      <c r="R516" t="str">
        <f t="shared" ref="R516:R579" si="53">IF(P516&gt;0,"profit","loss")</f>
        <v>profit</v>
      </c>
    </row>
    <row r="517" spans="1:18" ht="15.75" customHeight="1" x14ac:dyDescent="0.4">
      <c r="A517" s="1" t="s">
        <v>1048</v>
      </c>
      <c r="B517" s="2">
        <v>45211</v>
      </c>
      <c r="C517" s="2">
        <v>45216</v>
      </c>
      <c r="D517" s="2" t="str">
        <f t="shared" si="51"/>
        <v>2023</v>
      </c>
      <c r="E517" s="2" t="str">
        <f t="shared" si="48"/>
        <v>October</v>
      </c>
      <c r="F517" s="2" t="str">
        <f t="shared" si="52"/>
        <v>Q4</v>
      </c>
      <c r="G517" s="13">
        <f t="shared" si="49"/>
        <v>5</v>
      </c>
      <c r="H517" s="12" t="s">
        <v>42</v>
      </c>
      <c r="I517" s="1" t="s">
        <v>46</v>
      </c>
      <c r="J517" s="1" t="s">
        <v>25</v>
      </c>
      <c r="K517" s="1" t="s">
        <v>47</v>
      </c>
      <c r="L517" s="1" t="s">
        <v>1049</v>
      </c>
      <c r="M517" s="10">
        <v>583.48</v>
      </c>
      <c r="N517" s="8">
        <v>10</v>
      </c>
      <c r="O517" s="6">
        <v>0.38</v>
      </c>
      <c r="P517" s="10">
        <v>344.77</v>
      </c>
      <c r="Q517" s="11">
        <f t="shared" si="50"/>
        <v>238.71000000000004</v>
      </c>
      <c r="R517" t="str">
        <f t="shared" si="53"/>
        <v>profit</v>
      </c>
    </row>
    <row r="518" spans="1:18" ht="15.75" customHeight="1" x14ac:dyDescent="0.4">
      <c r="A518" s="1" t="s">
        <v>1050</v>
      </c>
      <c r="B518" s="2">
        <v>44931</v>
      </c>
      <c r="C518" s="2">
        <v>44936</v>
      </c>
      <c r="D518" s="2" t="str">
        <f t="shared" si="51"/>
        <v>2023</v>
      </c>
      <c r="E518" s="2" t="str">
        <f t="shared" si="48"/>
        <v>January</v>
      </c>
      <c r="F518" s="2" t="str">
        <f t="shared" si="52"/>
        <v>Q1</v>
      </c>
      <c r="G518" s="13">
        <f t="shared" si="49"/>
        <v>5</v>
      </c>
      <c r="H518" s="12" t="s">
        <v>23</v>
      </c>
      <c r="I518" s="1" t="s">
        <v>53</v>
      </c>
      <c r="J518" s="1" t="s">
        <v>19</v>
      </c>
      <c r="K518" s="1" t="s">
        <v>35</v>
      </c>
      <c r="L518" s="1" t="s">
        <v>1051</v>
      </c>
      <c r="M518" s="10">
        <v>878.08</v>
      </c>
      <c r="N518" s="8">
        <v>2</v>
      </c>
      <c r="O518" s="6">
        <v>0.15</v>
      </c>
      <c r="P518" s="10">
        <v>728.59</v>
      </c>
      <c r="Q518" s="11">
        <f t="shared" si="50"/>
        <v>149.49</v>
      </c>
      <c r="R518" t="str">
        <f t="shared" si="53"/>
        <v>profit</v>
      </c>
    </row>
    <row r="519" spans="1:18" ht="15.75" customHeight="1" x14ac:dyDescent="0.4">
      <c r="A519" s="1" t="s">
        <v>1052</v>
      </c>
      <c r="B519" s="2">
        <v>45050</v>
      </c>
      <c r="C519" s="2">
        <v>45050</v>
      </c>
      <c r="D519" s="2" t="str">
        <f t="shared" si="51"/>
        <v>2023</v>
      </c>
      <c r="E519" s="2" t="str">
        <f t="shared" si="48"/>
        <v>May</v>
      </c>
      <c r="F519" s="2" t="str">
        <f t="shared" si="52"/>
        <v>Q2</v>
      </c>
      <c r="G519" s="13">
        <f t="shared" si="49"/>
        <v>0</v>
      </c>
      <c r="H519" s="12" t="s">
        <v>1986</v>
      </c>
      <c r="I519" s="1" t="s">
        <v>29</v>
      </c>
      <c r="J519" s="1" t="s">
        <v>14</v>
      </c>
      <c r="K519" s="1" t="s">
        <v>15</v>
      </c>
      <c r="L519" s="1" t="s">
        <v>1053</v>
      </c>
      <c r="M519" s="10">
        <v>657.01</v>
      </c>
      <c r="N519" s="8">
        <v>7</v>
      </c>
      <c r="O519" s="6">
        <v>0.44</v>
      </c>
      <c r="P519" s="10">
        <v>335.25</v>
      </c>
      <c r="Q519" s="11">
        <f t="shared" si="50"/>
        <v>321.76</v>
      </c>
      <c r="R519" t="str">
        <f t="shared" si="53"/>
        <v>profit</v>
      </c>
    </row>
    <row r="520" spans="1:18" ht="15.75" customHeight="1" x14ac:dyDescent="0.4">
      <c r="A520" s="1" t="s">
        <v>1056</v>
      </c>
      <c r="B520" s="2">
        <v>45009</v>
      </c>
      <c r="C520" s="2">
        <v>45010</v>
      </c>
      <c r="D520" s="2" t="str">
        <f t="shared" si="51"/>
        <v>2023</v>
      </c>
      <c r="E520" s="2" t="str">
        <f t="shared" si="48"/>
        <v>March</v>
      </c>
      <c r="F520" s="2" t="str">
        <f t="shared" si="52"/>
        <v>Q2</v>
      </c>
      <c r="G520" s="13">
        <f t="shared" si="49"/>
        <v>1</v>
      </c>
      <c r="H520" s="12" t="s">
        <v>1987</v>
      </c>
      <c r="I520" s="1" t="s">
        <v>18</v>
      </c>
      <c r="J520" s="1" t="s">
        <v>14</v>
      </c>
      <c r="K520" s="1" t="s">
        <v>15</v>
      </c>
      <c r="L520" s="1" t="s">
        <v>1057</v>
      </c>
      <c r="M520" s="10">
        <v>238.28</v>
      </c>
      <c r="N520" s="8">
        <v>3</v>
      </c>
      <c r="O520" s="6">
        <v>0.26</v>
      </c>
      <c r="P520" s="10">
        <v>148.22999999999999</v>
      </c>
      <c r="Q520" s="11">
        <f t="shared" si="50"/>
        <v>90.050000000000011</v>
      </c>
      <c r="R520" t="str">
        <f t="shared" si="53"/>
        <v>profit</v>
      </c>
    </row>
    <row r="521" spans="1:18" ht="15.75" customHeight="1" x14ac:dyDescent="0.4">
      <c r="A521" s="1" t="s">
        <v>1058</v>
      </c>
      <c r="B521" s="2">
        <v>45510</v>
      </c>
      <c r="C521" s="2">
        <v>45512</v>
      </c>
      <c r="D521" s="2" t="str">
        <f t="shared" si="51"/>
        <v>2024</v>
      </c>
      <c r="E521" s="2" t="str">
        <f t="shared" si="48"/>
        <v>August</v>
      </c>
      <c r="F521" s="2" t="str">
        <f t="shared" si="52"/>
        <v>Q3</v>
      </c>
      <c r="G521" s="13">
        <f t="shared" si="49"/>
        <v>2</v>
      </c>
      <c r="H521" s="12" t="s">
        <v>1986</v>
      </c>
      <c r="I521" s="1" t="s">
        <v>50</v>
      </c>
      <c r="J521" s="1" t="s">
        <v>19</v>
      </c>
      <c r="K521" s="1" t="s">
        <v>20</v>
      </c>
      <c r="L521" s="1" t="s">
        <v>1059</v>
      </c>
      <c r="M521" s="10">
        <v>87.76</v>
      </c>
      <c r="N521" s="8">
        <v>9</v>
      </c>
      <c r="O521" s="6">
        <v>0.1</v>
      </c>
      <c r="P521" s="10">
        <v>32.06</v>
      </c>
      <c r="Q521" s="11">
        <f t="shared" si="50"/>
        <v>55.7</v>
      </c>
      <c r="R521" t="str">
        <f t="shared" si="53"/>
        <v>profit</v>
      </c>
    </row>
    <row r="522" spans="1:18" ht="15.75" customHeight="1" x14ac:dyDescent="0.4">
      <c r="A522" s="1" t="s">
        <v>1060</v>
      </c>
      <c r="B522" s="2">
        <v>44971</v>
      </c>
      <c r="C522" s="2">
        <v>44977</v>
      </c>
      <c r="D522" s="2" t="str">
        <f t="shared" si="51"/>
        <v>2023</v>
      </c>
      <c r="E522" s="2" t="str">
        <f t="shared" si="48"/>
        <v>February</v>
      </c>
      <c r="F522" s="2" t="str">
        <f t="shared" si="52"/>
        <v>Q1</v>
      </c>
      <c r="G522" s="13">
        <f t="shared" si="49"/>
        <v>6</v>
      </c>
      <c r="H522" s="12" t="s">
        <v>23</v>
      </c>
      <c r="I522" s="1" t="s">
        <v>24</v>
      </c>
      <c r="J522" s="1" t="s">
        <v>14</v>
      </c>
      <c r="K522" s="1" t="s">
        <v>54</v>
      </c>
      <c r="L522" s="1" t="s">
        <v>1061</v>
      </c>
      <c r="M522" s="10">
        <v>167.57</v>
      </c>
      <c r="N522" s="8">
        <v>7</v>
      </c>
      <c r="O522" s="6">
        <v>0.03</v>
      </c>
      <c r="P522" s="10">
        <v>130.52000000000001</v>
      </c>
      <c r="Q522" s="11">
        <f t="shared" si="50"/>
        <v>37.049999999999983</v>
      </c>
      <c r="R522" t="str">
        <f t="shared" si="53"/>
        <v>profit</v>
      </c>
    </row>
    <row r="523" spans="1:18" ht="15.75" customHeight="1" x14ac:dyDescent="0.4">
      <c r="A523" s="1" t="s">
        <v>1062</v>
      </c>
      <c r="B523" s="2">
        <v>45160</v>
      </c>
      <c r="C523" s="2">
        <v>45162</v>
      </c>
      <c r="D523" s="2" t="str">
        <f t="shared" si="51"/>
        <v>2023</v>
      </c>
      <c r="E523" s="2" t="str">
        <f t="shared" si="48"/>
        <v>August</v>
      </c>
      <c r="F523" s="2" t="str">
        <f t="shared" si="52"/>
        <v>Q3</v>
      </c>
      <c r="G523" s="13">
        <f t="shared" si="49"/>
        <v>2</v>
      </c>
      <c r="H523" s="12" t="s">
        <v>23</v>
      </c>
      <c r="I523" s="1" t="s">
        <v>24</v>
      </c>
      <c r="J523" s="1" t="s">
        <v>25</v>
      </c>
      <c r="K523" s="1" t="s">
        <v>47</v>
      </c>
      <c r="L523" s="1" t="s">
        <v>1063</v>
      </c>
      <c r="M523" s="10">
        <v>107.86</v>
      </c>
      <c r="N523" s="8">
        <v>8</v>
      </c>
      <c r="O523" s="6">
        <v>0.26</v>
      </c>
      <c r="P523" s="10">
        <v>46.78</v>
      </c>
      <c r="Q523" s="11">
        <f t="shared" si="50"/>
        <v>61.08</v>
      </c>
      <c r="R523" t="str">
        <f t="shared" si="53"/>
        <v>profit</v>
      </c>
    </row>
    <row r="524" spans="1:18" ht="15.75" customHeight="1" x14ac:dyDescent="0.4">
      <c r="A524" s="1" t="s">
        <v>1064</v>
      </c>
      <c r="B524" s="2">
        <v>45218</v>
      </c>
      <c r="C524" s="2">
        <v>45220</v>
      </c>
      <c r="D524" s="2" t="str">
        <f t="shared" si="51"/>
        <v>2023</v>
      </c>
      <c r="E524" s="2" t="str">
        <f t="shared" si="48"/>
        <v>October</v>
      </c>
      <c r="F524" s="2" t="str">
        <f t="shared" si="52"/>
        <v>Q4</v>
      </c>
      <c r="G524" s="13">
        <f t="shared" si="49"/>
        <v>2</v>
      </c>
      <c r="H524" s="12" t="s">
        <v>23</v>
      </c>
      <c r="I524" s="1" t="s">
        <v>13</v>
      </c>
      <c r="J524" s="1" t="s">
        <v>25</v>
      </c>
      <c r="K524" s="1" t="s">
        <v>43</v>
      </c>
      <c r="L524" s="1" t="s">
        <v>1065</v>
      </c>
      <c r="M524" s="10">
        <v>493.63</v>
      </c>
      <c r="N524" s="8">
        <v>8</v>
      </c>
      <c r="O524" s="6">
        <v>0.09</v>
      </c>
      <c r="P524" s="10">
        <v>399.37</v>
      </c>
      <c r="Q524" s="11">
        <f t="shared" si="50"/>
        <v>94.259999999999991</v>
      </c>
      <c r="R524" t="str">
        <f t="shared" si="53"/>
        <v>profit</v>
      </c>
    </row>
    <row r="525" spans="1:18" ht="15.75" customHeight="1" x14ac:dyDescent="0.4">
      <c r="A525" s="1" t="s">
        <v>1066</v>
      </c>
      <c r="C525" s="2">
        <v>45178</v>
      </c>
      <c r="D525" s="2" t="str">
        <f t="shared" si="51"/>
        <v/>
      </c>
      <c r="E525" s="2" t="str">
        <f t="shared" si="48"/>
        <v>September</v>
      </c>
      <c r="F525" s="2" t="str">
        <f t="shared" si="52"/>
        <v>Q4</v>
      </c>
      <c r="G525" s="13">
        <f t="shared" si="49"/>
        <v>45178</v>
      </c>
      <c r="H525" s="12" t="s">
        <v>1988</v>
      </c>
      <c r="I525" s="1" t="s">
        <v>18</v>
      </c>
      <c r="J525" s="1" t="s">
        <v>19</v>
      </c>
      <c r="K525" s="1" t="s">
        <v>20</v>
      </c>
      <c r="L525" s="1" t="s">
        <v>1067</v>
      </c>
      <c r="M525" s="11" t="s">
        <v>1989</v>
      </c>
      <c r="N525" s="8">
        <v>10</v>
      </c>
      <c r="O525" s="6">
        <v>0.19</v>
      </c>
      <c r="P525" s="10">
        <v>683.33</v>
      </c>
      <c r="Q525" s="11" t="e">
        <f t="shared" si="50"/>
        <v>#VALUE!</v>
      </c>
      <c r="R525" t="str">
        <f t="shared" si="53"/>
        <v>profit</v>
      </c>
    </row>
    <row r="526" spans="1:18" ht="15.75" customHeight="1" x14ac:dyDescent="0.4">
      <c r="A526" s="3" t="s">
        <v>1068</v>
      </c>
      <c r="B526" s="2">
        <v>45003</v>
      </c>
      <c r="C526" s="2">
        <v>45011</v>
      </c>
      <c r="D526" s="2" t="str">
        <f t="shared" si="51"/>
        <v>2023</v>
      </c>
      <c r="E526" s="2" t="str">
        <f t="shared" si="48"/>
        <v>March</v>
      </c>
      <c r="F526" s="2" t="str">
        <f t="shared" si="52"/>
        <v>Q2</v>
      </c>
      <c r="G526" s="13">
        <f t="shared" si="49"/>
        <v>8</v>
      </c>
      <c r="H526" s="12" t="s">
        <v>1987</v>
      </c>
      <c r="I526" s="1" t="s">
        <v>13</v>
      </c>
      <c r="J526" s="1" t="s">
        <v>25</v>
      </c>
      <c r="K526" s="1" t="s">
        <v>43</v>
      </c>
      <c r="L526" s="1" t="s">
        <v>1069</v>
      </c>
      <c r="M526" s="10">
        <v>796.89</v>
      </c>
      <c r="N526" s="8">
        <v>7</v>
      </c>
      <c r="O526" s="6">
        <v>0.06</v>
      </c>
      <c r="P526" s="10">
        <v>708.16</v>
      </c>
      <c r="Q526" s="11">
        <f t="shared" si="50"/>
        <v>88.730000000000018</v>
      </c>
      <c r="R526" t="str">
        <f t="shared" si="53"/>
        <v>profit</v>
      </c>
    </row>
    <row r="527" spans="1:18" s="14" customFormat="1" ht="15.75" customHeight="1" x14ac:dyDescent="0.4">
      <c r="A527" s="24" t="s">
        <v>1070</v>
      </c>
      <c r="B527" s="25">
        <v>45160</v>
      </c>
      <c r="C527" s="17">
        <v>45479</v>
      </c>
      <c r="D527" s="2" t="str">
        <f t="shared" si="51"/>
        <v>2023</v>
      </c>
      <c r="E527" s="17" t="str">
        <f t="shared" si="48"/>
        <v>July</v>
      </c>
      <c r="F527" s="17" t="str">
        <f t="shared" si="52"/>
        <v>Q3</v>
      </c>
      <c r="G527" s="18">
        <f t="shared" si="49"/>
        <v>319</v>
      </c>
      <c r="H527" s="19" t="s">
        <v>1987</v>
      </c>
      <c r="I527" s="15" t="s">
        <v>46</v>
      </c>
      <c r="J527" s="15" t="s">
        <v>25</v>
      </c>
      <c r="K527" s="15" t="s">
        <v>47</v>
      </c>
      <c r="L527" s="15" t="s">
        <v>201</v>
      </c>
      <c r="M527" s="20">
        <v>171.52</v>
      </c>
      <c r="N527" s="21">
        <v>10</v>
      </c>
      <c r="O527" s="22">
        <v>0.47</v>
      </c>
      <c r="P527" s="20">
        <v>47.41</v>
      </c>
      <c r="Q527" s="23">
        <f t="shared" si="50"/>
        <v>124.11000000000001</v>
      </c>
      <c r="R527" s="14" t="str">
        <f t="shared" si="53"/>
        <v>profit</v>
      </c>
    </row>
    <row r="528" spans="1:18" ht="15.75" customHeight="1" x14ac:dyDescent="0.4">
      <c r="A528" s="1" t="s">
        <v>1071</v>
      </c>
      <c r="B528" s="2">
        <v>45003</v>
      </c>
      <c r="C528" s="2">
        <v>45007</v>
      </c>
      <c r="D528" s="2" t="str">
        <f t="shared" si="51"/>
        <v>2023</v>
      </c>
      <c r="E528" s="2" t="str">
        <f t="shared" si="48"/>
        <v>March</v>
      </c>
      <c r="F528" s="2" t="str">
        <f t="shared" si="52"/>
        <v>Q2</v>
      </c>
      <c r="G528" s="13">
        <f t="shared" si="49"/>
        <v>4</v>
      </c>
      <c r="H528" s="12" t="s">
        <v>1986</v>
      </c>
      <c r="I528" s="1" t="s">
        <v>46</v>
      </c>
      <c r="J528" s="1" t="s">
        <v>25</v>
      </c>
      <c r="K528" s="1" t="s">
        <v>43</v>
      </c>
      <c r="L528" s="1" t="s">
        <v>1072</v>
      </c>
      <c r="M528" s="10">
        <v>866.35</v>
      </c>
      <c r="N528" s="8">
        <v>7</v>
      </c>
      <c r="O528" s="6">
        <v>0.39</v>
      </c>
      <c r="P528" s="10">
        <v>480.64</v>
      </c>
      <c r="Q528" s="11">
        <f t="shared" si="50"/>
        <v>385.71000000000004</v>
      </c>
      <c r="R528" t="str">
        <f t="shared" si="53"/>
        <v>profit</v>
      </c>
    </row>
    <row r="529" spans="1:18" ht="15.75" customHeight="1" x14ac:dyDescent="0.4">
      <c r="A529" s="1" t="s">
        <v>1073</v>
      </c>
      <c r="B529" s="2">
        <v>45351</v>
      </c>
      <c r="C529" s="2">
        <v>45352</v>
      </c>
      <c r="D529" s="2" t="str">
        <f t="shared" si="51"/>
        <v>2024</v>
      </c>
      <c r="E529" s="2" t="str">
        <f t="shared" si="48"/>
        <v>March</v>
      </c>
      <c r="F529" s="2" t="str">
        <f t="shared" si="52"/>
        <v>Q2</v>
      </c>
      <c r="G529" s="13">
        <f t="shared" si="49"/>
        <v>1</v>
      </c>
      <c r="H529" s="12" t="s">
        <v>1986</v>
      </c>
      <c r="I529" s="1" t="s">
        <v>46</v>
      </c>
      <c r="J529" s="1" t="s">
        <v>14</v>
      </c>
      <c r="K529" s="1" t="s">
        <v>54</v>
      </c>
      <c r="L529" s="1" t="s">
        <v>1074</v>
      </c>
      <c r="M529" s="10">
        <v>36.58</v>
      </c>
      <c r="N529" s="8">
        <v>4</v>
      </c>
      <c r="O529" s="6">
        <v>0.15</v>
      </c>
      <c r="P529" s="10">
        <v>9.26</v>
      </c>
      <c r="Q529" s="11">
        <f t="shared" si="50"/>
        <v>27.32</v>
      </c>
      <c r="R529" t="str">
        <f t="shared" si="53"/>
        <v>profit</v>
      </c>
    </row>
    <row r="530" spans="1:18" ht="15.75" customHeight="1" x14ac:dyDescent="0.4">
      <c r="A530" s="1" t="s">
        <v>1075</v>
      </c>
      <c r="B530" s="2">
        <v>45090</v>
      </c>
      <c r="C530" s="2">
        <v>45093</v>
      </c>
      <c r="D530" s="2" t="str">
        <f t="shared" si="51"/>
        <v>2023</v>
      </c>
      <c r="E530" s="2" t="str">
        <f t="shared" si="48"/>
        <v>June</v>
      </c>
      <c r="F530" s="2" t="str">
        <f t="shared" si="52"/>
        <v>Q3</v>
      </c>
      <c r="G530" s="13">
        <f t="shared" si="49"/>
        <v>3</v>
      </c>
      <c r="H530" s="12" t="s">
        <v>1987</v>
      </c>
      <c r="I530" s="1" t="s">
        <v>29</v>
      </c>
      <c r="J530" s="1" t="s">
        <v>14</v>
      </c>
      <c r="K530" s="1" t="s">
        <v>54</v>
      </c>
      <c r="L530" s="1" t="s">
        <v>1076</v>
      </c>
      <c r="M530" s="10">
        <v>950.53</v>
      </c>
      <c r="N530" s="8">
        <v>6</v>
      </c>
      <c r="O530" s="6">
        <v>0.1</v>
      </c>
      <c r="P530" s="10">
        <v>807.81</v>
      </c>
      <c r="Q530" s="11">
        <f t="shared" si="50"/>
        <v>142.72000000000003</v>
      </c>
      <c r="R530" t="str">
        <f t="shared" si="53"/>
        <v>profit</v>
      </c>
    </row>
    <row r="531" spans="1:18" ht="15.75" customHeight="1" x14ac:dyDescent="0.4">
      <c r="A531" s="1" t="s">
        <v>1077</v>
      </c>
      <c r="B531" s="2">
        <v>45139</v>
      </c>
      <c r="C531" s="2">
        <v>45144</v>
      </c>
      <c r="D531" s="2" t="str">
        <f t="shared" si="51"/>
        <v>2023</v>
      </c>
      <c r="E531" s="2" t="str">
        <f t="shared" si="48"/>
        <v>August</v>
      </c>
      <c r="F531" s="2" t="str">
        <f t="shared" si="52"/>
        <v>Q3</v>
      </c>
      <c r="G531" s="13">
        <f t="shared" si="49"/>
        <v>5</v>
      </c>
      <c r="H531" s="12" t="s">
        <v>42</v>
      </c>
      <c r="I531" s="1" t="s">
        <v>46</v>
      </c>
      <c r="J531" s="1" t="s">
        <v>19</v>
      </c>
      <c r="K531" s="1" t="s">
        <v>92</v>
      </c>
      <c r="L531" s="1" t="s">
        <v>1078</v>
      </c>
      <c r="M531" s="10">
        <v>408.89</v>
      </c>
      <c r="N531" s="8">
        <v>6</v>
      </c>
      <c r="O531" s="6">
        <v>0.17</v>
      </c>
      <c r="P531" s="10">
        <v>322.07</v>
      </c>
      <c r="Q531" s="11">
        <f t="shared" si="50"/>
        <v>86.82</v>
      </c>
      <c r="R531" t="str">
        <f t="shared" si="53"/>
        <v>profit</v>
      </c>
    </row>
    <row r="532" spans="1:18" ht="15.75" customHeight="1" x14ac:dyDescent="0.4">
      <c r="A532" s="1" t="s">
        <v>1079</v>
      </c>
      <c r="B532" s="2">
        <v>45000</v>
      </c>
      <c r="C532" s="2">
        <v>45002</v>
      </c>
      <c r="D532" s="2" t="str">
        <f t="shared" si="51"/>
        <v>2023</v>
      </c>
      <c r="E532" s="2" t="str">
        <f t="shared" si="48"/>
        <v>March</v>
      </c>
      <c r="F532" s="2" t="str">
        <f t="shared" si="52"/>
        <v>Q2</v>
      </c>
      <c r="G532" s="13">
        <f t="shared" si="49"/>
        <v>2</v>
      </c>
      <c r="H532" s="12" t="s">
        <v>1986</v>
      </c>
      <c r="I532" s="1" t="s">
        <v>50</v>
      </c>
      <c r="J532" s="1" t="s">
        <v>25</v>
      </c>
      <c r="K532" s="1" t="s">
        <v>43</v>
      </c>
      <c r="L532" s="1" t="s">
        <v>1080</v>
      </c>
      <c r="M532" s="10">
        <v>694.43</v>
      </c>
      <c r="N532" s="8">
        <v>3</v>
      </c>
      <c r="O532" s="6">
        <v>0.19</v>
      </c>
      <c r="P532" s="10">
        <v>540.6</v>
      </c>
      <c r="Q532" s="11">
        <f t="shared" si="50"/>
        <v>153.82999999999993</v>
      </c>
      <c r="R532" t="str">
        <f t="shared" si="53"/>
        <v>profit</v>
      </c>
    </row>
    <row r="533" spans="1:18" ht="15.75" customHeight="1" x14ac:dyDescent="0.4">
      <c r="A533" s="1" t="s">
        <v>1081</v>
      </c>
      <c r="B533" s="2">
        <v>44910</v>
      </c>
      <c r="C533" s="2">
        <v>44913</v>
      </c>
      <c r="D533" s="2" t="str">
        <f t="shared" si="51"/>
        <v>2022</v>
      </c>
      <c r="E533" s="2" t="str">
        <f t="shared" si="48"/>
        <v>December</v>
      </c>
      <c r="F533" s="2" t="str">
        <f t="shared" si="52"/>
        <v>Q4</v>
      </c>
      <c r="G533" s="13">
        <f t="shared" si="49"/>
        <v>3</v>
      </c>
      <c r="H533" s="12" t="s">
        <v>1986</v>
      </c>
      <c r="I533" s="1" t="s">
        <v>13</v>
      </c>
      <c r="J533" s="1" t="s">
        <v>14</v>
      </c>
      <c r="K533" s="1" t="s">
        <v>30</v>
      </c>
      <c r="L533" s="1" t="s">
        <v>1082</v>
      </c>
      <c r="M533" s="10">
        <v>62.53</v>
      </c>
      <c r="N533" s="8">
        <v>8</v>
      </c>
      <c r="O533" s="6">
        <v>0.32</v>
      </c>
      <c r="P533" s="10">
        <v>-0.84</v>
      </c>
      <c r="Q533" s="11">
        <f t="shared" si="50"/>
        <v>63.370000000000005</v>
      </c>
      <c r="R533" t="str">
        <f t="shared" si="53"/>
        <v>loss</v>
      </c>
    </row>
    <row r="534" spans="1:18" ht="15.75" customHeight="1" x14ac:dyDescent="0.4">
      <c r="A534" s="1" t="s">
        <v>1083</v>
      </c>
      <c r="B534" s="2">
        <v>44968</v>
      </c>
      <c r="C534" s="2">
        <v>44969</v>
      </c>
      <c r="D534" s="2" t="str">
        <f t="shared" si="51"/>
        <v>2023</v>
      </c>
      <c r="E534" s="2" t="str">
        <f t="shared" si="48"/>
        <v>February</v>
      </c>
      <c r="F534" s="2" t="str">
        <f t="shared" si="52"/>
        <v>Q1</v>
      </c>
      <c r="G534" s="13">
        <f t="shared" si="49"/>
        <v>1</v>
      </c>
      <c r="H534" s="12" t="s">
        <v>23</v>
      </c>
      <c r="I534" s="1" t="s">
        <v>46</v>
      </c>
      <c r="J534" s="1" t="s">
        <v>19</v>
      </c>
      <c r="K534" s="1" t="s">
        <v>20</v>
      </c>
      <c r="L534" s="1" t="s">
        <v>1084</v>
      </c>
      <c r="M534" s="10">
        <v>218.72</v>
      </c>
      <c r="N534" s="8">
        <v>10</v>
      </c>
      <c r="O534" s="6">
        <v>0.35</v>
      </c>
      <c r="P534" s="10">
        <v>96.11</v>
      </c>
      <c r="Q534" s="11">
        <f t="shared" si="50"/>
        <v>122.61</v>
      </c>
      <c r="R534" t="str">
        <f t="shared" si="53"/>
        <v>profit</v>
      </c>
    </row>
    <row r="535" spans="1:18" ht="15.75" customHeight="1" x14ac:dyDescent="0.4">
      <c r="A535" s="1" t="s">
        <v>1085</v>
      </c>
      <c r="B535" s="2">
        <v>45440</v>
      </c>
      <c r="C535" s="2">
        <v>45444</v>
      </c>
      <c r="D535" s="2" t="str">
        <f t="shared" si="51"/>
        <v>2024</v>
      </c>
      <c r="E535" s="2" t="str">
        <f t="shared" si="48"/>
        <v>June</v>
      </c>
      <c r="F535" s="2" t="str">
        <f t="shared" si="52"/>
        <v>Q3</v>
      </c>
      <c r="G535" s="13">
        <f t="shared" si="49"/>
        <v>4</v>
      </c>
      <c r="H535" s="12" t="s">
        <v>1987</v>
      </c>
      <c r="I535" s="1" t="s">
        <v>53</v>
      </c>
      <c r="J535" s="1" t="s">
        <v>19</v>
      </c>
      <c r="K535" s="1" t="s">
        <v>35</v>
      </c>
      <c r="L535" s="1" t="s">
        <v>1086</v>
      </c>
      <c r="M535" s="10">
        <v>498.55</v>
      </c>
      <c r="N535" s="8">
        <v>1</v>
      </c>
      <c r="O535" s="6">
        <v>0.1</v>
      </c>
      <c r="P535" s="10">
        <v>416.22</v>
      </c>
      <c r="Q535" s="11">
        <f t="shared" si="50"/>
        <v>82.329999999999984</v>
      </c>
      <c r="R535" t="str">
        <f t="shared" si="53"/>
        <v>profit</v>
      </c>
    </row>
    <row r="536" spans="1:18" ht="15.75" customHeight="1" x14ac:dyDescent="0.4">
      <c r="A536" s="1" t="s">
        <v>1087</v>
      </c>
      <c r="B536" s="2">
        <v>45170</v>
      </c>
      <c r="C536" s="2">
        <v>45178</v>
      </c>
      <c r="D536" s="2" t="str">
        <f t="shared" si="51"/>
        <v>2023</v>
      </c>
      <c r="E536" s="2" t="str">
        <f t="shared" si="48"/>
        <v>September</v>
      </c>
      <c r="F536" s="2" t="str">
        <f t="shared" si="52"/>
        <v>Q4</v>
      </c>
      <c r="G536" s="13">
        <f t="shared" si="49"/>
        <v>8</v>
      </c>
      <c r="H536" s="12" t="s">
        <v>1987</v>
      </c>
      <c r="I536" s="1" t="s">
        <v>46</v>
      </c>
      <c r="J536" s="1" t="s">
        <v>14</v>
      </c>
      <c r="K536" s="1" t="s">
        <v>30</v>
      </c>
      <c r="L536" s="1" t="s">
        <v>1088</v>
      </c>
      <c r="M536" s="10">
        <v>944.56</v>
      </c>
      <c r="N536" s="8">
        <v>1</v>
      </c>
      <c r="O536" s="6">
        <v>0.28000000000000003</v>
      </c>
      <c r="P536" s="10">
        <v>649.70000000000005</v>
      </c>
      <c r="Q536" s="11">
        <f t="shared" si="50"/>
        <v>294.8599999999999</v>
      </c>
      <c r="R536" t="str">
        <f t="shared" si="53"/>
        <v>profit</v>
      </c>
    </row>
    <row r="537" spans="1:18" ht="15.75" customHeight="1" x14ac:dyDescent="0.4">
      <c r="A537" s="1" t="s">
        <v>1089</v>
      </c>
      <c r="B537" s="2">
        <v>45071</v>
      </c>
      <c r="C537" s="2">
        <v>45077</v>
      </c>
      <c r="D537" s="2" t="str">
        <f t="shared" si="51"/>
        <v>2023</v>
      </c>
      <c r="E537" s="2" t="str">
        <f t="shared" si="48"/>
        <v>May</v>
      </c>
      <c r="F537" s="2" t="str">
        <f t="shared" si="52"/>
        <v>Q2</v>
      </c>
      <c r="G537" s="13">
        <f t="shared" si="49"/>
        <v>6</v>
      </c>
      <c r="H537" s="12" t="s">
        <v>1986</v>
      </c>
      <c r="I537" s="1" t="s">
        <v>53</v>
      </c>
      <c r="J537" s="1" t="s">
        <v>25</v>
      </c>
      <c r="K537" s="1" t="s">
        <v>26</v>
      </c>
      <c r="L537" s="1" t="s">
        <v>1090</v>
      </c>
      <c r="M537" s="10">
        <v>525.71</v>
      </c>
      <c r="N537" s="8">
        <v>7</v>
      </c>
      <c r="O537" s="6">
        <v>0.05</v>
      </c>
      <c r="P537" s="10">
        <v>483.1</v>
      </c>
      <c r="Q537" s="11">
        <f t="shared" si="50"/>
        <v>42.610000000000014</v>
      </c>
      <c r="R537" t="str">
        <f t="shared" si="53"/>
        <v>profit</v>
      </c>
    </row>
    <row r="538" spans="1:18" ht="15.75" customHeight="1" x14ac:dyDescent="0.4">
      <c r="A538" s="1" t="s">
        <v>1091</v>
      </c>
      <c r="B538" s="2">
        <v>45165</v>
      </c>
      <c r="C538" s="2">
        <v>45174</v>
      </c>
      <c r="D538" s="2" t="str">
        <f t="shared" si="51"/>
        <v>2023</v>
      </c>
      <c r="E538" s="2" t="str">
        <f t="shared" si="48"/>
        <v>September</v>
      </c>
      <c r="F538" s="2" t="str">
        <f t="shared" si="52"/>
        <v>Q4</v>
      </c>
      <c r="G538" s="13">
        <f t="shared" si="49"/>
        <v>9</v>
      </c>
      <c r="H538" s="12" t="s">
        <v>1986</v>
      </c>
      <c r="I538" s="1" t="s">
        <v>46</v>
      </c>
      <c r="J538" s="1" t="s">
        <v>19</v>
      </c>
      <c r="K538" s="1" t="s">
        <v>35</v>
      </c>
      <c r="L538" s="1" t="s">
        <v>1092</v>
      </c>
      <c r="M538" s="10">
        <v>96.51</v>
      </c>
      <c r="N538" s="8">
        <v>8</v>
      </c>
      <c r="O538" s="6">
        <v>0.13</v>
      </c>
      <c r="P538" s="10">
        <v>41.06</v>
      </c>
      <c r="Q538" s="11">
        <f t="shared" si="50"/>
        <v>55.45</v>
      </c>
      <c r="R538" t="str">
        <f t="shared" si="53"/>
        <v>profit</v>
      </c>
    </row>
    <row r="539" spans="1:18" ht="15.75" customHeight="1" x14ac:dyDescent="0.4">
      <c r="A539" s="1" t="s">
        <v>1093</v>
      </c>
      <c r="B539" s="2">
        <v>45580</v>
      </c>
      <c r="C539" s="2">
        <v>45586</v>
      </c>
      <c r="D539" s="2" t="str">
        <f t="shared" si="51"/>
        <v>2024</v>
      </c>
      <c r="E539" s="2" t="str">
        <f t="shared" si="48"/>
        <v>October</v>
      </c>
      <c r="F539" s="2" t="str">
        <f t="shared" si="52"/>
        <v>Q4</v>
      </c>
      <c r="G539" s="13">
        <f t="shared" si="49"/>
        <v>6</v>
      </c>
      <c r="H539" s="12" t="s">
        <v>42</v>
      </c>
      <c r="I539" s="1" t="s">
        <v>24</v>
      </c>
      <c r="J539" s="1" t="s">
        <v>14</v>
      </c>
      <c r="K539" s="1" t="s">
        <v>54</v>
      </c>
      <c r="L539" s="1" t="s">
        <v>1094</v>
      </c>
      <c r="M539" s="10">
        <v>664.39</v>
      </c>
      <c r="N539" s="8">
        <v>9</v>
      </c>
      <c r="O539" s="6">
        <v>0.45</v>
      </c>
      <c r="P539" s="10">
        <v>335.32</v>
      </c>
      <c r="Q539" s="11">
        <f t="shared" si="50"/>
        <v>329.07</v>
      </c>
      <c r="R539" t="str">
        <f t="shared" si="53"/>
        <v>profit</v>
      </c>
    </row>
    <row r="540" spans="1:18" ht="15.75" customHeight="1" x14ac:dyDescent="0.4">
      <c r="A540" s="1" t="s">
        <v>1095</v>
      </c>
      <c r="B540" s="2">
        <v>45359</v>
      </c>
      <c r="C540" s="2">
        <v>45360</v>
      </c>
      <c r="D540" s="2" t="str">
        <f t="shared" si="51"/>
        <v>2024</v>
      </c>
      <c r="E540" s="2" t="str">
        <f t="shared" si="48"/>
        <v>March</v>
      </c>
      <c r="F540" s="2" t="str">
        <f t="shared" si="52"/>
        <v>Q2</v>
      </c>
      <c r="G540" s="13">
        <f t="shared" si="49"/>
        <v>1</v>
      </c>
      <c r="H540" s="12" t="s">
        <v>42</v>
      </c>
      <c r="I540" s="1" t="s">
        <v>29</v>
      </c>
      <c r="J540" s="1" t="s">
        <v>14</v>
      </c>
      <c r="K540" s="1" t="s">
        <v>30</v>
      </c>
      <c r="L540" s="1" t="s">
        <v>1096</v>
      </c>
      <c r="M540" s="10">
        <v>980.06</v>
      </c>
      <c r="N540" s="8">
        <v>9</v>
      </c>
      <c r="O540" s="6">
        <v>0.17</v>
      </c>
      <c r="P540" s="10">
        <v>793.12</v>
      </c>
      <c r="Q540" s="11">
        <f t="shared" si="50"/>
        <v>186.93999999999994</v>
      </c>
      <c r="R540" t="str">
        <f t="shared" si="53"/>
        <v>profit</v>
      </c>
    </row>
    <row r="541" spans="1:18" ht="15.75" customHeight="1" x14ac:dyDescent="0.4">
      <c r="A541" s="1" t="s">
        <v>1097</v>
      </c>
      <c r="B541" s="2">
        <v>44959</v>
      </c>
      <c r="C541" s="2">
        <v>44968</v>
      </c>
      <c r="D541" s="2" t="str">
        <f t="shared" si="51"/>
        <v>2023</v>
      </c>
      <c r="E541" s="2" t="str">
        <f t="shared" si="48"/>
        <v>February</v>
      </c>
      <c r="F541" s="2" t="str">
        <f t="shared" si="52"/>
        <v>Q1</v>
      </c>
      <c r="G541" s="13">
        <f t="shared" si="49"/>
        <v>9</v>
      </c>
      <c r="H541" s="12" t="s">
        <v>1987</v>
      </c>
      <c r="I541" s="1" t="s">
        <v>59</v>
      </c>
      <c r="J541" s="1" t="s">
        <v>25</v>
      </c>
      <c r="K541" s="1" t="s">
        <v>47</v>
      </c>
      <c r="L541" s="1" t="s">
        <v>1098</v>
      </c>
      <c r="M541" s="10">
        <v>919.54</v>
      </c>
      <c r="N541" s="8">
        <v>10</v>
      </c>
      <c r="O541" s="6">
        <v>0.34</v>
      </c>
      <c r="P541" s="10">
        <v>560.47</v>
      </c>
      <c r="Q541" s="11">
        <f t="shared" si="50"/>
        <v>359.06999999999994</v>
      </c>
      <c r="R541" t="str">
        <f t="shared" si="53"/>
        <v>profit</v>
      </c>
    </row>
    <row r="542" spans="1:18" ht="15.75" customHeight="1" x14ac:dyDescent="0.4">
      <c r="A542" s="1" t="s">
        <v>1099</v>
      </c>
      <c r="B542" s="2">
        <v>45548</v>
      </c>
      <c r="C542" s="2">
        <v>45555</v>
      </c>
      <c r="D542" s="2" t="str">
        <f t="shared" si="51"/>
        <v>2024</v>
      </c>
      <c r="E542" s="2" t="str">
        <f t="shared" si="48"/>
        <v>September</v>
      </c>
      <c r="F542" s="2" t="str">
        <f t="shared" si="52"/>
        <v>Q4</v>
      </c>
      <c r="G542" s="13">
        <f t="shared" si="49"/>
        <v>7</v>
      </c>
      <c r="H542" s="12" t="s">
        <v>42</v>
      </c>
      <c r="I542" s="1" t="s">
        <v>53</v>
      </c>
      <c r="J542" s="1" t="s">
        <v>25</v>
      </c>
      <c r="K542" s="1" t="s">
        <v>47</v>
      </c>
      <c r="L542" s="1" t="s">
        <v>1100</v>
      </c>
      <c r="M542" s="10">
        <v>863.52</v>
      </c>
      <c r="N542" s="8">
        <v>2</v>
      </c>
      <c r="O542" s="6">
        <v>7.0000000000000007E-2</v>
      </c>
      <c r="P542" s="10">
        <v>783.15</v>
      </c>
      <c r="Q542" s="11">
        <f t="shared" si="50"/>
        <v>80.37</v>
      </c>
      <c r="R542" t="str">
        <f t="shared" si="53"/>
        <v>profit</v>
      </c>
    </row>
    <row r="543" spans="1:18" ht="15.75" customHeight="1" x14ac:dyDescent="0.4">
      <c r="A543" s="1" t="s">
        <v>1101</v>
      </c>
      <c r="B543" s="2">
        <v>45298</v>
      </c>
      <c r="C543" s="2">
        <v>45307</v>
      </c>
      <c r="D543" s="2" t="str">
        <f t="shared" si="51"/>
        <v>2024</v>
      </c>
      <c r="E543" s="2" t="str">
        <f t="shared" si="48"/>
        <v>January</v>
      </c>
      <c r="F543" s="2" t="str">
        <f t="shared" si="52"/>
        <v>Q1</v>
      </c>
      <c r="G543" s="13">
        <f t="shared" si="49"/>
        <v>9</v>
      </c>
      <c r="H543" s="12" t="s">
        <v>1987</v>
      </c>
      <c r="I543" s="1" t="s">
        <v>24</v>
      </c>
      <c r="J543" s="1" t="s">
        <v>19</v>
      </c>
      <c r="K543" s="1" t="s">
        <v>20</v>
      </c>
      <c r="L543" s="1" t="s">
        <v>1102</v>
      </c>
      <c r="M543" s="10">
        <v>331.78</v>
      </c>
      <c r="N543" s="8">
        <v>9</v>
      </c>
      <c r="O543" s="6">
        <v>0.1</v>
      </c>
      <c r="P543" s="10">
        <v>258.75</v>
      </c>
      <c r="Q543" s="11">
        <f t="shared" si="50"/>
        <v>73.029999999999973</v>
      </c>
      <c r="R543" t="str">
        <f t="shared" si="53"/>
        <v>profit</v>
      </c>
    </row>
    <row r="544" spans="1:18" ht="15.75" customHeight="1" x14ac:dyDescent="0.4">
      <c r="A544" s="1" t="s">
        <v>1103</v>
      </c>
      <c r="B544" s="2">
        <v>45088</v>
      </c>
      <c r="C544" s="2">
        <v>45090</v>
      </c>
      <c r="D544" s="2" t="str">
        <f t="shared" si="51"/>
        <v>2023</v>
      </c>
      <c r="E544" s="2" t="str">
        <f t="shared" si="48"/>
        <v>June</v>
      </c>
      <c r="F544" s="2" t="str">
        <f t="shared" si="52"/>
        <v>Q3</v>
      </c>
      <c r="G544" s="13">
        <f t="shared" si="49"/>
        <v>2</v>
      </c>
      <c r="H544" s="12" t="s">
        <v>1987</v>
      </c>
      <c r="I544" s="1" t="s">
        <v>29</v>
      </c>
      <c r="J544" s="1" t="s">
        <v>19</v>
      </c>
      <c r="K544" s="1" t="s">
        <v>35</v>
      </c>
      <c r="L544" s="1" t="s">
        <v>1104</v>
      </c>
      <c r="M544" s="10">
        <v>458.83</v>
      </c>
      <c r="N544" s="8">
        <v>8</v>
      </c>
      <c r="O544" s="6">
        <v>0.38</v>
      </c>
      <c r="P544" s="10">
        <v>269.52</v>
      </c>
      <c r="Q544" s="11">
        <f t="shared" si="50"/>
        <v>189.31</v>
      </c>
      <c r="R544" t="str">
        <f t="shared" si="53"/>
        <v>profit</v>
      </c>
    </row>
    <row r="545" spans="1:18" ht="15.75" customHeight="1" x14ac:dyDescent="0.4">
      <c r="A545" s="1" t="s">
        <v>1105</v>
      </c>
      <c r="B545" s="2">
        <v>45490</v>
      </c>
      <c r="C545" s="2">
        <v>45497</v>
      </c>
      <c r="D545" s="2" t="str">
        <f t="shared" si="51"/>
        <v>2024</v>
      </c>
      <c r="E545" s="2" t="str">
        <f t="shared" si="48"/>
        <v>July</v>
      </c>
      <c r="F545" s="2" t="str">
        <f t="shared" si="52"/>
        <v>Q3</v>
      </c>
      <c r="G545" s="13">
        <f t="shared" si="49"/>
        <v>7</v>
      </c>
      <c r="H545" s="12" t="s">
        <v>1987</v>
      </c>
      <c r="I545" s="1" t="s">
        <v>24</v>
      </c>
      <c r="J545" s="1" t="s">
        <v>25</v>
      </c>
      <c r="K545" s="1" t="s">
        <v>43</v>
      </c>
      <c r="L545" s="1" t="s">
        <v>1106</v>
      </c>
      <c r="M545" s="10">
        <v>927.19</v>
      </c>
      <c r="N545" s="8">
        <v>5</v>
      </c>
      <c r="O545" s="6">
        <v>0.49</v>
      </c>
      <c r="P545" s="10">
        <v>433.71</v>
      </c>
      <c r="Q545" s="11">
        <f t="shared" si="50"/>
        <v>493.48000000000008</v>
      </c>
      <c r="R545" t="str">
        <f t="shared" si="53"/>
        <v>profit</v>
      </c>
    </row>
    <row r="546" spans="1:18" ht="15.75" customHeight="1" x14ac:dyDescent="0.4">
      <c r="A546" s="1" t="s">
        <v>1107</v>
      </c>
      <c r="B546" s="2">
        <v>45553</v>
      </c>
      <c r="C546" s="2">
        <v>45555</v>
      </c>
      <c r="D546" s="2" t="str">
        <f t="shared" si="51"/>
        <v>2024</v>
      </c>
      <c r="E546" s="2" t="str">
        <f t="shared" si="48"/>
        <v>September</v>
      </c>
      <c r="F546" s="2" t="str">
        <f t="shared" si="52"/>
        <v>Q4</v>
      </c>
      <c r="G546" s="13">
        <f t="shared" si="49"/>
        <v>2</v>
      </c>
      <c r="H546" s="12" t="s">
        <v>23</v>
      </c>
      <c r="I546" s="1" t="s">
        <v>50</v>
      </c>
      <c r="J546" s="1" t="s">
        <v>19</v>
      </c>
      <c r="K546" s="1" t="s">
        <v>35</v>
      </c>
      <c r="L546" s="1" t="s">
        <v>1108</v>
      </c>
      <c r="M546" s="10">
        <v>884.5</v>
      </c>
      <c r="N546" s="8">
        <v>2</v>
      </c>
      <c r="O546" s="6">
        <v>0.34</v>
      </c>
      <c r="P546" s="10">
        <v>545.05999999999995</v>
      </c>
      <c r="Q546" s="11">
        <f t="shared" si="50"/>
        <v>339.44000000000005</v>
      </c>
      <c r="R546" t="str">
        <f t="shared" si="53"/>
        <v>profit</v>
      </c>
    </row>
    <row r="547" spans="1:18" ht="15.75" customHeight="1" x14ac:dyDescent="0.4">
      <c r="A547" s="1" t="s">
        <v>1109</v>
      </c>
      <c r="C547" s="2">
        <v>45400</v>
      </c>
      <c r="D547" s="2" t="str">
        <f t="shared" si="51"/>
        <v/>
      </c>
      <c r="E547" s="2" t="str">
        <f t="shared" si="48"/>
        <v>April</v>
      </c>
      <c r="F547" s="2" t="str">
        <f t="shared" si="52"/>
        <v>Q2</v>
      </c>
      <c r="G547" s="13">
        <f t="shared" si="49"/>
        <v>45400</v>
      </c>
      <c r="H547" s="12" t="s">
        <v>1988</v>
      </c>
      <c r="I547" s="1" t="s">
        <v>13</v>
      </c>
      <c r="J547" s="1" t="s">
        <v>25</v>
      </c>
      <c r="K547" s="1" t="s">
        <v>47</v>
      </c>
      <c r="L547" s="1" t="s">
        <v>1110</v>
      </c>
      <c r="M547" s="11" t="s">
        <v>1989</v>
      </c>
      <c r="N547" s="8">
        <v>5</v>
      </c>
      <c r="O547" s="6">
        <v>0.48</v>
      </c>
      <c r="P547" s="10">
        <v>249.16</v>
      </c>
      <c r="Q547" s="11" t="e">
        <f t="shared" si="50"/>
        <v>#VALUE!</v>
      </c>
      <c r="R547" t="str">
        <f t="shared" si="53"/>
        <v>profit</v>
      </c>
    </row>
    <row r="548" spans="1:18" ht="15.75" customHeight="1" x14ac:dyDescent="0.4">
      <c r="A548" s="1" t="s">
        <v>1111</v>
      </c>
      <c r="B548" s="2">
        <v>45077</v>
      </c>
      <c r="C548" s="2">
        <v>45084</v>
      </c>
      <c r="D548" s="2" t="str">
        <f t="shared" si="51"/>
        <v>2023</v>
      </c>
      <c r="E548" s="2" t="str">
        <f t="shared" si="48"/>
        <v>June</v>
      </c>
      <c r="F548" s="2" t="str">
        <f t="shared" si="52"/>
        <v>Q3</v>
      </c>
      <c r="G548" s="13">
        <f t="shared" si="49"/>
        <v>7</v>
      </c>
      <c r="H548" s="12" t="s">
        <v>1986</v>
      </c>
      <c r="I548" s="1" t="s">
        <v>46</v>
      </c>
      <c r="J548" s="1" t="s">
        <v>25</v>
      </c>
      <c r="K548" s="1" t="s">
        <v>47</v>
      </c>
      <c r="L548" s="1" t="s">
        <v>1112</v>
      </c>
      <c r="M548" s="10">
        <v>549.04999999999995</v>
      </c>
      <c r="N548" s="8">
        <v>9</v>
      </c>
      <c r="O548" s="6">
        <v>0.5</v>
      </c>
      <c r="P548" s="10">
        <v>239.23</v>
      </c>
      <c r="Q548" s="11">
        <f t="shared" si="50"/>
        <v>309.81999999999994</v>
      </c>
      <c r="R548" t="str">
        <f t="shared" si="53"/>
        <v>profit</v>
      </c>
    </row>
    <row r="549" spans="1:18" ht="15.75" customHeight="1" x14ac:dyDescent="0.4">
      <c r="A549" s="1" t="s">
        <v>1113</v>
      </c>
      <c r="B549" s="2">
        <v>45466</v>
      </c>
      <c r="C549" s="2">
        <v>45471</v>
      </c>
      <c r="D549" s="2" t="str">
        <f t="shared" si="51"/>
        <v>2024</v>
      </c>
      <c r="E549" s="2" t="str">
        <f t="shared" si="48"/>
        <v>June</v>
      </c>
      <c r="F549" s="2" t="str">
        <f t="shared" si="52"/>
        <v>Q3</v>
      </c>
      <c r="G549" s="13">
        <f t="shared" si="49"/>
        <v>5</v>
      </c>
      <c r="H549" s="12" t="s">
        <v>1987</v>
      </c>
      <c r="I549" s="1" t="s">
        <v>18</v>
      </c>
      <c r="J549" s="1" t="s">
        <v>14</v>
      </c>
      <c r="K549" s="1" t="s">
        <v>30</v>
      </c>
      <c r="L549" s="1" t="s">
        <v>1114</v>
      </c>
      <c r="M549" s="10">
        <v>524.25</v>
      </c>
      <c r="N549" s="8">
        <v>5</v>
      </c>
      <c r="O549" s="6">
        <v>0.13</v>
      </c>
      <c r="P549" s="10">
        <v>413.49</v>
      </c>
      <c r="Q549" s="11">
        <f t="shared" si="50"/>
        <v>110.75999999999999</v>
      </c>
      <c r="R549" t="str">
        <f t="shared" si="53"/>
        <v>profit</v>
      </c>
    </row>
    <row r="550" spans="1:18" ht="15.75" customHeight="1" x14ac:dyDescent="0.4">
      <c r="A550" s="1" t="s">
        <v>1115</v>
      </c>
      <c r="B550" s="2">
        <v>45018</v>
      </c>
      <c r="C550" s="2">
        <v>45018</v>
      </c>
      <c r="D550" s="2" t="str">
        <f t="shared" si="51"/>
        <v>2023</v>
      </c>
      <c r="E550" s="2" t="str">
        <f t="shared" si="48"/>
        <v>April</v>
      </c>
      <c r="F550" s="2" t="str">
        <f t="shared" si="52"/>
        <v>Q2</v>
      </c>
      <c r="G550" s="13">
        <f t="shared" si="49"/>
        <v>0</v>
      </c>
      <c r="H550" s="12" t="s">
        <v>1987</v>
      </c>
      <c r="I550" s="1" t="s">
        <v>53</v>
      </c>
      <c r="J550" s="1" t="s">
        <v>25</v>
      </c>
      <c r="K550" s="1" t="s">
        <v>43</v>
      </c>
      <c r="L550" s="1" t="s">
        <v>1116</v>
      </c>
      <c r="M550" s="10">
        <v>363.4</v>
      </c>
      <c r="N550" s="8">
        <v>7</v>
      </c>
      <c r="O550" s="6">
        <v>0.06</v>
      </c>
      <c r="P550" s="10">
        <v>303.81</v>
      </c>
      <c r="Q550" s="11">
        <f t="shared" si="50"/>
        <v>59.589999999999975</v>
      </c>
      <c r="R550" t="str">
        <f t="shared" si="53"/>
        <v>profit</v>
      </c>
    </row>
    <row r="551" spans="1:18" ht="15.75" customHeight="1" x14ac:dyDescent="0.4">
      <c r="A551" s="1" t="s">
        <v>1117</v>
      </c>
      <c r="B551" s="2">
        <v>44916</v>
      </c>
      <c r="C551" s="2">
        <v>44923</v>
      </c>
      <c r="D551" s="2" t="str">
        <f t="shared" si="51"/>
        <v>2022</v>
      </c>
      <c r="E551" s="2" t="str">
        <f t="shared" si="48"/>
        <v>December</v>
      </c>
      <c r="F551" s="2" t="str">
        <f t="shared" si="52"/>
        <v>Q4</v>
      </c>
      <c r="G551" s="13">
        <f t="shared" si="49"/>
        <v>7</v>
      </c>
      <c r="H551" s="12" t="s">
        <v>1986</v>
      </c>
      <c r="I551" s="1" t="s">
        <v>46</v>
      </c>
      <c r="J551" s="1" t="s">
        <v>19</v>
      </c>
      <c r="K551" s="1" t="s">
        <v>20</v>
      </c>
      <c r="L551" s="1" t="s">
        <v>1118</v>
      </c>
      <c r="M551" s="10">
        <v>911.17</v>
      </c>
      <c r="N551" s="8">
        <v>2</v>
      </c>
      <c r="O551" s="6">
        <v>0.28999999999999998</v>
      </c>
      <c r="P551" s="10">
        <v>626.54999999999995</v>
      </c>
      <c r="Q551" s="11">
        <f t="shared" si="50"/>
        <v>284.62</v>
      </c>
      <c r="R551" t="str">
        <f t="shared" si="53"/>
        <v>profit</v>
      </c>
    </row>
    <row r="552" spans="1:18" ht="15.75" customHeight="1" x14ac:dyDescent="0.4">
      <c r="A552" s="1" t="s">
        <v>1119</v>
      </c>
      <c r="B552" s="2">
        <v>45325</v>
      </c>
      <c r="C552" s="2">
        <v>45327</v>
      </c>
      <c r="D552" s="2" t="str">
        <f t="shared" si="51"/>
        <v>2024</v>
      </c>
      <c r="E552" s="2" t="str">
        <f t="shared" si="48"/>
        <v>February</v>
      </c>
      <c r="F552" s="2" t="str">
        <f t="shared" si="52"/>
        <v>Q1</v>
      </c>
      <c r="G552" s="13">
        <f t="shared" si="49"/>
        <v>2</v>
      </c>
      <c r="H552" s="12" t="s">
        <v>1987</v>
      </c>
      <c r="I552" s="1" t="s">
        <v>29</v>
      </c>
      <c r="J552" s="1" t="s">
        <v>25</v>
      </c>
      <c r="K552" s="1" t="s">
        <v>47</v>
      </c>
      <c r="L552" s="1" t="s">
        <v>1120</v>
      </c>
      <c r="M552" s="10">
        <v>286.32</v>
      </c>
      <c r="N552" s="8">
        <v>10</v>
      </c>
      <c r="O552" s="6">
        <v>0.22</v>
      </c>
      <c r="P552" s="10">
        <v>179.02</v>
      </c>
      <c r="Q552" s="11">
        <f t="shared" si="50"/>
        <v>107.29999999999998</v>
      </c>
      <c r="R552" t="str">
        <f t="shared" si="53"/>
        <v>profit</v>
      </c>
    </row>
    <row r="553" spans="1:18" ht="15.75" customHeight="1" x14ac:dyDescent="0.4">
      <c r="A553" s="1" t="s">
        <v>1121</v>
      </c>
      <c r="B553" s="2">
        <v>45229</v>
      </c>
      <c r="C553" s="2">
        <v>45232</v>
      </c>
      <c r="D553" s="2" t="str">
        <f t="shared" si="51"/>
        <v>2023</v>
      </c>
      <c r="E553" s="2" t="str">
        <f t="shared" si="48"/>
        <v>November</v>
      </c>
      <c r="F553" s="2" t="str">
        <f t="shared" si="52"/>
        <v>Q4</v>
      </c>
      <c r="G553" s="13">
        <f t="shared" si="49"/>
        <v>3</v>
      </c>
      <c r="H553" s="12" t="s">
        <v>42</v>
      </c>
      <c r="I553" s="1" t="s">
        <v>53</v>
      </c>
      <c r="J553" s="1" t="s">
        <v>25</v>
      </c>
      <c r="K553" s="1" t="s">
        <v>26</v>
      </c>
      <c r="L553" s="1" t="s">
        <v>1122</v>
      </c>
      <c r="M553" s="10">
        <v>284.77</v>
      </c>
      <c r="N553" s="8">
        <v>3</v>
      </c>
      <c r="O553" s="6">
        <v>0.23</v>
      </c>
      <c r="P553" s="10">
        <v>179.22</v>
      </c>
      <c r="Q553" s="11">
        <f t="shared" si="50"/>
        <v>105.54999999999998</v>
      </c>
      <c r="R553" t="str">
        <f t="shared" si="53"/>
        <v>profit</v>
      </c>
    </row>
    <row r="554" spans="1:18" ht="15.75" customHeight="1" x14ac:dyDescent="0.4">
      <c r="A554" s="1" t="s">
        <v>1123</v>
      </c>
      <c r="B554" s="2">
        <v>45175</v>
      </c>
      <c r="C554" s="2">
        <v>45183</v>
      </c>
      <c r="D554" s="2" t="str">
        <f t="shared" si="51"/>
        <v>2023</v>
      </c>
      <c r="E554" s="2" t="str">
        <f t="shared" si="48"/>
        <v>September</v>
      </c>
      <c r="F554" s="2" t="str">
        <f t="shared" si="52"/>
        <v>Q4</v>
      </c>
      <c r="G554" s="13">
        <f t="shared" si="49"/>
        <v>8</v>
      </c>
      <c r="H554" s="12" t="s">
        <v>1986</v>
      </c>
      <c r="I554" s="1" t="s">
        <v>46</v>
      </c>
      <c r="J554" s="1" t="s">
        <v>19</v>
      </c>
      <c r="K554" s="1" t="s">
        <v>20</v>
      </c>
      <c r="L554" s="1" t="s">
        <v>1124</v>
      </c>
      <c r="M554" s="10">
        <v>948.61</v>
      </c>
      <c r="N554" s="8">
        <v>2</v>
      </c>
      <c r="O554" s="6">
        <v>0.36</v>
      </c>
      <c r="P554" s="10">
        <v>569.36</v>
      </c>
      <c r="Q554" s="11">
        <f t="shared" si="50"/>
        <v>379.25</v>
      </c>
      <c r="R554" t="str">
        <f t="shared" si="53"/>
        <v>profit</v>
      </c>
    </row>
    <row r="555" spans="1:18" ht="15.75" customHeight="1" x14ac:dyDescent="0.4">
      <c r="A555" s="1" t="s">
        <v>1125</v>
      </c>
      <c r="B555" s="2">
        <v>45424</v>
      </c>
      <c r="C555" s="2">
        <v>45424</v>
      </c>
      <c r="D555" s="2" t="str">
        <f t="shared" si="51"/>
        <v>2024</v>
      </c>
      <c r="E555" s="2" t="str">
        <f t="shared" si="48"/>
        <v>May</v>
      </c>
      <c r="F555" s="2" t="str">
        <f t="shared" si="52"/>
        <v>Q2</v>
      </c>
      <c r="G555" s="13">
        <f t="shared" si="49"/>
        <v>0</v>
      </c>
      <c r="H555" s="12" t="s">
        <v>1987</v>
      </c>
      <c r="I555" s="1" t="s">
        <v>53</v>
      </c>
      <c r="J555" s="1" t="s">
        <v>19</v>
      </c>
      <c r="K555" s="1" t="s">
        <v>92</v>
      </c>
      <c r="L555" s="1" t="s">
        <v>1126</v>
      </c>
      <c r="M555" s="10">
        <v>638.57000000000005</v>
      </c>
      <c r="N555" s="8">
        <v>3</v>
      </c>
      <c r="O555" s="6">
        <v>0.2</v>
      </c>
      <c r="P555" s="10">
        <v>478.24</v>
      </c>
      <c r="Q555" s="11">
        <f t="shared" si="50"/>
        <v>160.33000000000004</v>
      </c>
      <c r="R555" t="str">
        <f t="shared" si="53"/>
        <v>profit</v>
      </c>
    </row>
    <row r="556" spans="1:18" ht="15.75" customHeight="1" x14ac:dyDescent="0.4">
      <c r="A556" s="1" t="s">
        <v>1127</v>
      </c>
      <c r="B556" s="2">
        <v>45472</v>
      </c>
      <c r="C556" s="2">
        <v>45474</v>
      </c>
      <c r="D556" s="2" t="str">
        <f t="shared" si="51"/>
        <v>2024</v>
      </c>
      <c r="E556" s="2" t="str">
        <f t="shared" si="48"/>
        <v>July</v>
      </c>
      <c r="F556" s="2" t="str">
        <f t="shared" si="52"/>
        <v>Q3</v>
      </c>
      <c r="G556" s="13">
        <f t="shared" si="49"/>
        <v>2</v>
      </c>
      <c r="H556" s="12" t="s">
        <v>42</v>
      </c>
      <c r="I556" s="1" t="s">
        <v>59</v>
      </c>
      <c r="J556" s="1" t="s">
        <v>14</v>
      </c>
      <c r="K556" s="1" t="s">
        <v>54</v>
      </c>
      <c r="L556" s="1" t="s">
        <v>1128</v>
      </c>
      <c r="M556" s="10">
        <v>844.4</v>
      </c>
      <c r="N556" s="8">
        <v>5</v>
      </c>
      <c r="O556" s="6">
        <v>0.1</v>
      </c>
      <c r="P556" s="10">
        <v>717.6</v>
      </c>
      <c r="Q556" s="11">
        <f t="shared" si="50"/>
        <v>126.79999999999995</v>
      </c>
      <c r="R556" t="str">
        <f t="shared" si="53"/>
        <v>profit</v>
      </c>
    </row>
    <row r="557" spans="1:18" ht="15.75" customHeight="1" x14ac:dyDescent="0.4">
      <c r="A557" s="1" t="s">
        <v>1129</v>
      </c>
      <c r="B557" s="2">
        <v>45360</v>
      </c>
      <c r="C557" s="2">
        <v>45366</v>
      </c>
      <c r="D557" s="2" t="str">
        <f t="shared" si="51"/>
        <v>2024</v>
      </c>
      <c r="E557" s="2" t="str">
        <f t="shared" si="48"/>
        <v>March</v>
      </c>
      <c r="F557" s="2" t="str">
        <f t="shared" si="52"/>
        <v>Q2</v>
      </c>
      <c r="G557" s="13">
        <f t="shared" si="49"/>
        <v>6</v>
      </c>
      <c r="H557" s="12" t="s">
        <v>23</v>
      </c>
      <c r="I557" s="1" t="s">
        <v>18</v>
      </c>
      <c r="J557" s="1" t="s">
        <v>25</v>
      </c>
      <c r="K557" s="1" t="s">
        <v>43</v>
      </c>
      <c r="L557" s="1" t="s">
        <v>1130</v>
      </c>
      <c r="M557" s="10">
        <v>101.39</v>
      </c>
      <c r="N557" s="8">
        <v>5</v>
      </c>
      <c r="O557" s="6">
        <v>0.23</v>
      </c>
      <c r="P557" s="10">
        <v>30.44</v>
      </c>
      <c r="Q557" s="11">
        <f t="shared" si="50"/>
        <v>70.95</v>
      </c>
      <c r="R557" t="str">
        <f t="shared" si="53"/>
        <v>profit</v>
      </c>
    </row>
    <row r="558" spans="1:18" ht="15.75" customHeight="1" x14ac:dyDescent="0.4">
      <c r="A558" s="1" t="s">
        <v>1131</v>
      </c>
      <c r="B558" s="2">
        <v>45538</v>
      </c>
      <c r="C558" s="2">
        <v>45546</v>
      </c>
      <c r="D558" s="2" t="str">
        <f t="shared" si="51"/>
        <v>2024</v>
      </c>
      <c r="E558" s="2" t="str">
        <f t="shared" si="48"/>
        <v>September</v>
      </c>
      <c r="F558" s="2" t="str">
        <f t="shared" si="52"/>
        <v>Q4</v>
      </c>
      <c r="G558" s="13">
        <f t="shared" si="49"/>
        <v>8</v>
      </c>
      <c r="H558" s="12" t="s">
        <v>42</v>
      </c>
      <c r="I558" s="1" t="s">
        <v>46</v>
      </c>
      <c r="J558" s="1" t="s">
        <v>25</v>
      </c>
      <c r="K558" s="1" t="s">
        <v>47</v>
      </c>
      <c r="L558" s="1" t="s">
        <v>1132</v>
      </c>
      <c r="M558" s="10">
        <v>129</v>
      </c>
      <c r="N558" s="8">
        <v>1</v>
      </c>
      <c r="O558" s="6">
        <v>0.23</v>
      </c>
      <c r="P558" s="10">
        <v>81.16</v>
      </c>
      <c r="Q558" s="11">
        <f t="shared" si="50"/>
        <v>47.84</v>
      </c>
      <c r="R558" t="str">
        <f t="shared" si="53"/>
        <v>profit</v>
      </c>
    </row>
    <row r="559" spans="1:18" ht="15.75" customHeight="1" x14ac:dyDescent="0.4">
      <c r="A559" s="1" t="s">
        <v>1133</v>
      </c>
      <c r="B559" s="2">
        <v>45552</v>
      </c>
      <c r="C559" s="2">
        <v>45555</v>
      </c>
      <c r="D559" s="2" t="str">
        <f t="shared" si="51"/>
        <v>2024</v>
      </c>
      <c r="E559" s="2" t="str">
        <f t="shared" si="48"/>
        <v>September</v>
      </c>
      <c r="F559" s="2" t="str">
        <f t="shared" si="52"/>
        <v>Q4</v>
      </c>
      <c r="G559" s="13">
        <f t="shared" si="49"/>
        <v>3</v>
      </c>
      <c r="H559" s="12" t="s">
        <v>42</v>
      </c>
      <c r="I559" s="1" t="s">
        <v>46</v>
      </c>
      <c r="J559" s="1" t="s">
        <v>14</v>
      </c>
      <c r="K559" s="1" t="s">
        <v>30</v>
      </c>
      <c r="L559" s="1" t="s">
        <v>1134</v>
      </c>
      <c r="M559" s="10">
        <v>816.52</v>
      </c>
      <c r="N559" s="8">
        <v>5</v>
      </c>
      <c r="O559" s="6">
        <v>0.39</v>
      </c>
      <c r="P559" s="10">
        <v>457.7</v>
      </c>
      <c r="Q559" s="11">
        <f t="shared" si="50"/>
        <v>358.82</v>
      </c>
      <c r="R559" t="str">
        <f t="shared" si="53"/>
        <v>profit</v>
      </c>
    </row>
    <row r="560" spans="1:18" ht="15.75" customHeight="1" x14ac:dyDescent="0.4">
      <c r="A560" s="1" t="s">
        <v>1135</v>
      </c>
      <c r="B560" s="2">
        <v>45512</v>
      </c>
      <c r="C560" s="2">
        <v>45518</v>
      </c>
      <c r="D560" s="2" t="str">
        <f t="shared" si="51"/>
        <v>2024</v>
      </c>
      <c r="E560" s="2" t="str">
        <f t="shared" si="48"/>
        <v>August</v>
      </c>
      <c r="F560" s="2" t="str">
        <f t="shared" si="52"/>
        <v>Q3</v>
      </c>
      <c r="G560" s="13">
        <f t="shared" si="49"/>
        <v>6</v>
      </c>
      <c r="H560" s="12" t="s">
        <v>23</v>
      </c>
      <c r="I560" s="1" t="s">
        <v>53</v>
      </c>
      <c r="J560" s="1" t="s">
        <v>19</v>
      </c>
      <c r="K560" s="1" t="s">
        <v>92</v>
      </c>
      <c r="L560" s="1" t="s">
        <v>1136</v>
      </c>
      <c r="M560" s="10">
        <v>894.47</v>
      </c>
      <c r="N560" s="8">
        <v>7</v>
      </c>
      <c r="O560" s="6">
        <v>0.4</v>
      </c>
      <c r="P560" s="10">
        <v>506.57</v>
      </c>
      <c r="Q560" s="11">
        <f t="shared" si="50"/>
        <v>387.90000000000003</v>
      </c>
      <c r="R560" t="str">
        <f t="shared" si="53"/>
        <v>profit</v>
      </c>
    </row>
    <row r="561" spans="1:18" ht="15.75" customHeight="1" x14ac:dyDescent="0.4">
      <c r="A561" s="1" t="s">
        <v>1137</v>
      </c>
      <c r="B561" s="2">
        <v>45296</v>
      </c>
      <c r="C561" s="2">
        <v>45302</v>
      </c>
      <c r="D561" s="2" t="str">
        <f t="shared" si="51"/>
        <v>2024</v>
      </c>
      <c r="E561" s="2" t="str">
        <f t="shared" si="48"/>
        <v>January</v>
      </c>
      <c r="F561" s="2" t="str">
        <f t="shared" si="52"/>
        <v>Q1</v>
      </c>
      <c r="G561" s="13">
        <f t="shared" si="49"/>
        <v>6</v>
      </c>
      <c r="H561" s="12" t="s">
        <v>1987</v>
      </c>
      <c r="I561" s="1" t="s">
        <v>13</v>
      </c>
      <c r="J561" s="1" t="s">
        <v>19</v>
      </c>
      <c r="K561" s="1" t="s">
        <v>20</v>
      </c>
      <c r="L561" s="1" t="s">
        <v>1138</v>
      </c>
      <c r="M561" s="10">
        <v>764.67</v>
      </c>
      <c r="N561" s="8">
        <v>9</v>
      </c>
      <c r="O561" s="6">
        <v>7.0000000000000007E-2</v>
      </c>
      <c r="P561" s="10">
        <v>666.95</v>
      </c>
      <c r="Q561" s="11">
        <f t="shared" si="50"/>
        <v>97.719999999999914</v>
      </c>
      <c r="R561" t="str">
        <f t="shared" si="53"/>
        <v>profit</v>
      </c>
    </row>
    <row r="562" spans="1:18" ht="15.75" customHeight="1" x14ac:dyDescent="0.4">
      <c r="A562" s="1" t="s">
        <v>1139</v>
      </c>
      <c r="B562" s="2">
        <v>45062</v>
      </c>
      <c r="C562" s="2">
        <v>45067</v>
      </c>
      <c r="D562" s="2" t="str">
        <f t="shared" si="51"/>
        <v>2023</v>
      </c>
      <c r="E562" s="2" t="str">
        <f t="shared" si="48"/>
        <v>May</v>
      </c>
      <c r="F562" s="2" t="str">
        <f t="shared" si="52"/>
        <v>Q2</v>
      </c>
      <c r="G562" s="13">
        <f t="shared" si="49"/>
        <v>5</v>
      </c>
      <c r="H562" s="12" t="s">
        <v>1986</v>
      </c>
      <c r="I562" s="1" t="s">
        <v>53</v>
      </c>
      <c r="J562" s="1" t="s">
        <v>25</v>
      </c>
      <c r="K562" s="1" t="s">
        <v>43</v>
      </c>
      <c r="L562" s="1" t="s">
        <v>1140</v>
      </c>
      <c r="M562" s="10">
        <v>108.21</v>
      </c>
      <c r="N562" s="8">
        <v>2</v>
      </c>
      <c r="O562" s="6">
        <v>0.12</v>
      </c>
      <c r="P562" s="10">
        <v>62.04</v>
      </c>
      <c r="Q562" s="11">
        <f t="shared" si="50"/>
        <v>46.169999999999995</v>
      </c>
      <c r="R562" t="str">
        <f t="shared" si="53"/>
        <v>profit</v>
      </c>
    </row>
    <row r="563" spans="1:18" ht="15.75" customHeight="1" x14ac:dyDescent="0.4">
      <c r="A563" s="1" t="s">
        <v>1141</v>
      </c>
      <c r="B563" s="2">
        <v>45478</v>
      </c>
      <c r="C563" s="2">
        <v>45485</v>
      </c>
      <c r="D563" s="2" t="str">
        <f t="shared" si="51"/>
        <v>2024</v>
      </c>
      <c r="E563" s="2" t="str">
        <f t="shared" si="48"/>
        <v>July</v>
      </c>
      <c r="F563" s="2" t="str">
        <f t="shared" si="52"/>
        <v>Q3</v>
      </c>
      <c r="G563" s="13">
        <f t="shared" si="49"/>
        <v>7</v>
      </c>
      <c r="H563" s="12" t="s">
        <v>42</v>
      </c>
      <c r="I563" s="1" t="s">
        <v>24</v>
      </c>
      <c r="J563" s="1" t="s">
        <v>19</v>
      </c>
      <c r="K563" s="1" t="s">
        <v>20</v>
      </c>
      <c r="L563" s="1" t="s">
        <v>1142</v>
      </c>
      <c r="M563" s="10">
        <v>576.05999999999995</v>
      </c>
      <c r="N563" s="8">
        <v>9</v>
      </c>
      <c r="O563" s="6">
        <v>0.35</v>
      </c>
      <c r="P563" s="10">
        <v>325.04000000000002</v>
      </c>
      <c r="Q563" s="11">
        <f t="shared" si="50"/>
        <v>251.01999999999992</v>
      </c>
      <c r="R563" t="str">
        <f t="shared" si="53"/>
        <v>profit</v>
      </c>
    </row>
    <row r="564" spans="1:18" ht="15.75" customHeight="1" x14ac:dyDescent="0.4">
      <c r="A564" s="1" t="s">
        <v>1143</v>
      </c>
      <c r="B564" s="2">
        <v>45472</v>
      </c>
      <c r="C564" s="2">
        <v>45473</v>
      </c>
      <c r="D564" s="2" t="str">
        <f t="shared" si="51"/>
        <v>2024</v>
      </c>
      <c r="E564" s="2" t="str">
        <f t="shared" si="48"/>
        <v>June</v>
      </c>
      <c r="F564" s="2" t="str">
        <f t="shared" si="52"/>
        <v>Q3</v>
      </c>
      <c r="G564" s="13">
        <f t="shared" si="49"/>
        <v>1</v>
      </c>
      <c r="H564" s="12" t="s">
        <v>1986</v>
      </c>
      <c r="I564" s="1" t="s">
        <v>46</v>
      </c>
      <c r="J564" s="1" t="s">
        <v>14</v>
      </c>
      <c r="K564" s="1" t="s">
        <v>54</v>
      </c>
      <c r="L564" s="1" t="s">
        <v>1144</v>
      </c>
      <c r="M564" s="10">
        <v>264.22000000000003</v>
      </c>
      <c r="N564" s="8">
        <v>1</v>
      </c>
      <c r="O564" s="6">
        <v>0.41</v>
      </c>
      <c r="P564" s="10">
        <v>122.8</v>
      </c>
      <c r="Q564" s="11">
        <f t="shared" si="50"/>
        <v>141.42000000000002</v>
      </c>
      <c r="R564" t="str">
        <f t="shared" si="53"/>
        <v>profit</v>
      </c>
    </row>
    <row r="565" spans="1:18" ht="15.75" customHeight="1" x14ac:dyDescent="0.4">
      <c r="A565" s="1" t="s">
        <v>1145</v>
      </c>
      <c r="B565" s="2">
        <v>45590</v>
      </c>
      <c r="C565" s="2">
        <v>45591</v>
      </c>
      <c r="D565" s="2" t="str">
        <f t="shared" si="51"/>
        <v>2024</v>
      </c>
      <c r="E565" s="2" t="str">
        <f t="shared" si="48"/>
        <v>October</v>
      </c>
      <c r="F565" s="2" t="str">
        <f t="shared" si="52"/>
        <v>Q4</v>
      </c>
      <c r="G565" s="13">
        <f t="shared" si="49"/>
        <v>1</v>
      </c>
      <c r="H565" s="12" t="s">
        <v>1987</v>
      </c>
      <c r="I565" s="1" t="s">
        <v>46</v>
      </c>
      <c r="J565" s="1" t="s">
        <v>19</v>
      </c>
      <c r="K565" s="1" t="s">
        <v>20</v>
      </c>
      <c r="L565" s="1" t="s">
        <v>1146</v>
      </c>
      <c r="M565" s="10">
        <v>935.44</v>
      </c>
      <c r="N565" s="8">
        <v>10</v>
      </c>
      <c r="O565" s="6">
        <v>0.49</v>
      </c>
      <c r="P565" s="10">
        <v>455.97</v>
      </c>
      <c r="Q565" s="11">
        <f t="shared" si="50"/>
        <v>479.47</v>
      </c>
      <c r="R565" t="str">
        <f t="shared" si="53"/>
        <v>profit</v>
      </c>
    </row>
    <row r="566" spans="1:18" ht="15.75" customHeight="1" x14ac:dyDescent="0.4">
      <c r="A566" s="1" t="s">
        <v>1147</v>
      </c>
      <c r="B566" s="2">
        <v>45064</v>
      </c>
      <c r="C566" s="2">
        <v>45067</v>
      </c>
      <c r="D566" s="2" t="str">
        <f t="shared" si="51"/>
        <v>2023</v>
      </c>
      <c r="E566" s="2" t="str">
        <f t="shared" si="48"/>
        <v>May</v>
      </c>
      <c r="F566" s="2" t="str">
        <f t="shared" si="52"/>
        <v>Q2</v>
      </c>
      <c r="G566" s="13">
        <f t="shared" si="49"/>
        <v>3</v>
      </c>
      <c r="H566" s="12" t="s">
        <v>23</v>
      </c>
      <c r="I566" s="1" t="s">
        <v>18</v>
      </c>
      <c r="J566" s="1" t="s">
        <v>19</v>
      </c>
      <c r="K566" s="1" t="s">
        <v>35</v>
      </c>
      <c r="L566" s="1" t="s">
        <v>1148</v>
      </c>
      <c r="M566" s="10">
        <v>436.47</v>
      </c>
      <c r="N566" s="8">
        <v>8</v>
      </c>
      <c r="O566" s="6">
        <v>0.38</v>
      </c>
      <c r="P566" s="10">
        <v>239.02</v>
      </c>
      <c r="Q566" s="11">
        <f t="shared" si="50"/>
        <v>197.45000000000002</v>
      </c>
      <c r="R566" t="str">
        <f t="shared" si="53"/>
        <v>profit</v>
      </c>
    </row>
    <row r="567" spans="1:18" ht="15.75" customHeight="1" x14ac:dyDescent="0.4">
      <c r="A567" s="1" t="s">
        <v>1149</v>
      </c>
      <c r="B567" s="2">
        <v>45018</v>
      </c>
      <c r="C567" s="2">
        <v>45026</v>
      </c>
      <c r="D567" s="2" t="str">
        <f t="shared" si="51"/>
        <v>2023</v>
      </c>
      <c r="E567" s="2" t="str">
        <f t="shared" si="48"/>
        <v>April</v>
      </c>
      <c r="F567" s="2" t="str">
        <f t="shared" si="52"/>
        <v>Q2</v>
      </c>
      <c r="G567" s="13">
        <f t="shared" si="49"/>
        <v>8</v>
      </c>
      <c r="H567" s="12" t="s">
        <v>1986</v>
      </c>
      <c r="I567" s="1" t="s">
        <v>29</v>
      </c>
      <c r="J567" s="1" t="s">
        <v>25</v>
      </c>
      <c r="K567" s="1" t="s">
        <v>47</v>
      </c>
      <c r="L567" s="1" t="s">
        <v>1150</v>
      </c>
      <c r="M567" s="10">
        <v>394.11</v>
      </c>
      <c r="N567" s="8">
        <v>10</v>
      </c>
      <c r="O567" s="6">
        <v>0.15</v>
      </c>
      <c r="P567" s="10">
        <v>306.18</v>
      </c>
      <c r="Q567" s="11">
        <f t="shared" si="50"/>
        <v>87.93</v>
      </c>
      <c r="R567" t="str">
        <f t="shared" si="53"/>
        <v>profit</v>
      </c>
    </row>
    <row r="568" spans="1:18" ht="15.75" customHeight="1" x14ac:dyDescent="0.4">
      <c r="A568" s="1" t="s">
        <v>1151</v>
      </c>
      <c r="B568" s="2">
        <v>44982</v>
      </c>
      <c r="C568" s="2">
        <v>44986</v>
      </c>
      <c r="D568" s="2" t="str">
        <f t="shared" si="51"/>
        <v>2023</v>
      </c>
      <c r="E568" s="2" t="str">
        <f t="shared" si="48"/>
        <v>March</v>
      </c>
      <c r="F568" s="2" t="str">
        <f t="shared" si="52"/>
        <v>Q2</v>
      </c>
      <c r="G568" s="13">
        <f t="shared" si="49"/>
        <v>4</v>
      </c>
      <c r="H568" s="12" t="s">
        <v>1986</v>
      </c>
      <c r="I568" s="1" t="s">
        <v>13</v>
      </c>
      <c r="J568" s="1" t="s">
        <v>25</v>
      </c>
      <c r="K568" s="1" t="s">
        <v>47</v>
      </c>
      <c r="L568" s="1" t="s">
        <v>1152</v>
      </c>
      <c r="M568" s="10">
        <v>644.96</v>
      </c>
      <c r="N568" s="8">
        <v>3</v>
      </c>
      <c r="O568" s="6">
        <v>0.38</v>
      </c>
      <c r="P568" s="10">
        <v>385.49</v>
      </c>
      <c r="Q568" s="11">
        <f t="shared" si="50"/>
        <v>259.47000000000003</v>
      </c>
      <c r="R568" t="str">
        <f t="shared" si="53"/>
        <v>profit</v>
      </c>
    </row>
    <row r="569" spans="1:18" ht="15.75" customHeight="1" x14ac:dyDescent="0.4">
      <c r="A569" s="1" t="s">
        <v>1153</v>
      </c>
      <c r="B569" s="2">
        <v>45303</v>
      </c>
      <c r="C569" s="2">
        <v>45312</v>
      </c>
      <c r="D569" s="2" t="str">
        <f t="shared" si="51"/>
        <v>2024</v>
      </c>
      <c r="E569" s="2" t="str">
        <f t="shared" si="48"/>
        <v>January</v>
      </c>
      <c r="F569" s="2" t="str">
        <f t="shared" si="52"/>
        <v>Q1</v>
      </c>
      <c r="G569" s="13">
        <f t="shared" si="49"/>
        <v>9</v>
      </c>
      <c r="H569" s="12" t="s">
        <v>23</v>
      </c>
      <c r="I569" s="1" t="s">
        <v>18</v>
      </c>
      <c r="J569" s="1" t="s">
        <v>25</v>
      </c>
      <c r="K569" s="1" t="s">
        <v>43</v>
      </c>
      <c r="L569" s="1" t="s">
        <v>1154</v>
      </c>
      <c r="M569" s="10">
        <v>300.77999999999997</v>
      </c>
      <c r="N569" s="8">
        <v>10</v>
      </c>
      <c r="O569" s="6">
        <v>0.44</v>
      </c>
      <c r="P569" s="10">
        <v>136.69</v>
      </c>
      <c r="Q569" s="11">
        <f t="shared" si="50"/>
        <v>164.08999999999997</v>
      </c>
      <c r="R569" t="str">
        <f t="shared" si="53"/>
        <v>profit</v>
      </c>
    </row>
    <row r="570" spans="1:18" ht="15.75" customHeight="1" x14ac:dyDescent="0.4">
      <c r="A570" s="1" t="s">
        <v>1155</v>
      </c>
      <c r="B570" s="2">
        <v>45137</v>
      </c>
      <c r="C570" s="2">
        <v>45143</v>
      </c>
      <c r="D570" s="2" t="str">
        <f t="shared" si="51"/>
        <v>2023</v>
      </c>
      <c r="E570" s="2" t="str">
        <f t="shared" si="48"/>
        <v>August</v>
      </c>
      <c r="F570" s="2" t="str">
        <f t="shared" si="52"/>
        <v>Q3</v>
      </c>
      <c r="G570" s="13">
        <f t="shared" si="49"/>
        <v>6</v>
      </c>
      <c r="H570" s="12" t="s">
        <v>23</v>
      </c>
      <c r="I570" s="1" t="s">
        <v>50</v>
      </c>
      <c r="J570" s="1" t="s">
        <v>25</v>
      </c>
      <c r="K570" s="1" t="s">
        <v>26</v>
      </c>
      <c r="L570" s="1" t="s">
        <v>1156</v>
      </c>
      <c r="M570" s="10">
        <v>409.03</v>
      </c>
      <c r="N570" s="8">
        <v>3</v>
      </c>
      <c r="O570" s="6">
        <v>7.0000000000000007E-2</v>
      </c>
      <c r="P570" s="10">
        <v>355.72</v>
      </c>
      <c r="Q570" s="11">
        <f t="shared" si="50"/>
        <v>53.309999999999945</v>
      </c>
      <c r="R570" t="str">
        <f t="shared" si="53"/>
        <v>profit</v>
      </c>
    </row>
    <row r="571" spans="1:18" ht="15.75" customHeight="1" x14ac:dyDescent="0.4">
      <c r="A571" s="1" t="s">
        <v>1157</v>
      </c>
      <c r="B571" s="2">
        <v>45278</v>
      </c>
      <c r="C571" s="2">
        <v>45282</v>
      </c>
      <c r="D571" s="2" t="str">
        <f t="shared" si="51"/>
        <v>2023</v>
      </c>
      <c r="E571" s="2" t="str">
        <f t="shared" si="48"/>
        <v>December</v>
      </c>
      <c r="F571" s="2" t="str">
        <f t="shared" si="52"/>
        <v>Q4</v>
      </c>
      <c r="G571" s="13">
        <f t="shared" si="49"/>
        <v>4</v>
      </c>
      <c r="H571" s="12" t="s">
        <v>1987</v>
      </c>
      <c r="I571" s="1" t="s">
        <v>24</v>
      </c>
      <c r="J571" s="1" t="s">
        <v>25</v>
      </c>
      <c r="K571" s="1" t="s">
        <v>47</v>
      </c>
      <c r="L571" s="1" t="s">
        <v>1158</v>
      </c>
      <c r="M571" s="10">
        <v>226.3</v>
      </c>
      <c r="N571" s="8">
        <v>10</v>
      </c>
      <c r="O571" s="6">
        <v>0.12</v>
      </c>
      <c r="P571" s="10">
        <v>167.76</v>
      </c>
      <c r="Q571" s="11">
        <f t="shared" si="50"/>
        <v>58.54000000000002</v>
      </c>
      <c r="R571" t="str">
        <f t="shared" si="53"/>
        <v>profit</v>
      </c>
    </row>
    <row r="572" spans="1:18" ht="15.75" customHeight="1" x14ac:dyDescent="0.4">
      <c r="A572" s="1" t="s">
        <v>1159</v>
      </c>
      <c r="B572" s="2">
        <v>45567</v>
      </c>
      <c r="C572" s="2">
        <v>45576</v>
      </c>
      <c r="D572" s="2" t="str">
        <f t="shared" si="51"/>
        <v>2024</v>
      </c>
      <c r="E572" s="2" t="str">
        <f t="shared" si="48"/>
        <v>October</v>
      </c>
      <c r="F572" s="2" t="str">
        <f t="shared" si="52"/>
        <v>Q4</v>
      </c>
      <c r="G572" s="13">
        <f t="shared" si="49"/>
        <v>9</v>
      </c>
      <c r="H572" s="12" t="s">
        <v>23</v>
      </c>
      <c r="I572" s="1" t="s">
        <v>50</v>
      </c>
      <c r="J572" s="1" t="s">
        <v>19</v>
      </c>
      <c r="K572" s="1" t="s">
        <v>92</v>
      </c>
      <c r="L572" s="1" t="s">
        <v>1160</v>
      </c>
      <c r="M572" s="10">
        <v>544.46</v>
      </c>
      <c r="N572" s="8">
        <v>9</v>
      </c>
      <c r="O572" s="6">
        <v>0.38</v>
      </c>
      <c r="P572" s="10">
        <v>295.76</v>
      </c>
      <c r="Q572" s="11">
        <f t="shared" si="50"/>
        <v>248.70000000000005</v>
      </c>
      <c r="R572" t="str">
        <f t="shared" si="53"/>
        <v>profit</v>
      </c>
    </row>
    <row r="573" spans="1:18" ht="15.75" customHeight="1" x14ac:dyDescent="0.4">
      <c r="A573" s="1" t="s">
        <v>1161</v>
      </c>
      <c r="B573" s="2">
        <v>44935</v>
      </c>
      <c r="C573" s="2">
        <v>44940</v>
      </c>
      <c r="D573" s="2" t="str">
        <f t="shared" si="51"/>
        <v>2023</v>
      </c>
      <c r="E573" s="2" t="str">
        <f t="shared" si="48"/>
        <v>January</v>
      </c>
      <c r="F573" s="2" t="str">
        <f t="shared" si="52"/>
        <v>Q1</v>
      </c>
      <c r="G573" s="13">
        <f t="shared" si="49"/>
        <v>5</v>
      </c>
      <c r="H573" s="12" t="s">
        <v>1986</v>
      </c>
      <c r="I573" s="1" t="s">
        <v>18</v>
      </c>
      <c r="J573" s="1" t="s">
        <v>14</v>
      </c>
      <c r="K573" s="1" t="s">
        <v>30</v>
      </c>
      <c r="L573" s="1" t="s">
        <v>1162</v>
      </c>
      <c r="M573" s="10">
        <v>438.37</v>
      </c>
      <c r="N573" s="8">
        <v>3</v>
      </c>
      <c r="O573" s="6">
        <v>0.35</v>
      </c>
      <c r="P573" s="10">
        <v>254.82</v>
      </c>
      <c r="Q573" s="11">
        <f t="shared" si="50"/>
        <v>183.55</v>
      </c>
      <c r="R573" t="str">
        <f t="shared" si="53"/>
        <v>profit</v>
      </c>
    </row>
    <row r="574" spans="1:18" ht="15.75" customHeight="1" x14ac:dyDescent="0.4">
      <c r="A574" s="1" t="s">
        <v>1163</v>
      </c>
      <c r="B574" s="2">
        <v>44926</v>
      </c>
      <c r="C574" s="2">
        <v>44932</v>
      </c>
      <c r="D574" s="2" t="str">
        <f t="shared" si="51"/>
        <v>2022</v>
      </c>
      <c r="E574" s="2" t="str">
        <f t="shared" si="48"/>
        <v>January</v>
      </c>
      <c r="F574" s="2" t="str">
        <f t="shared" si="52"/>
        <v>Q1</v>
      </c>
      <c r="G574" s="13">
        <f t="shared" si="49"/>
        <v>6</v>
      </c>
      <c r="H574" s="12" t="s">
        <v>23</v>
      </c>
      <c r="I574" s="1" t="s">
        <v>59</v>
      </c>
      <c r="J574" s="1" t="s">
        <v>19</v>
      </c>
      <c r="K574" s="1" t="s">
        <v>92</v>
      </c>
      <c r="L574" s="1" t="s">
        <v>1164</v>
      </c>
      <c r="M574" s="10">
        <v>428.02</v>
      </c>
      <c r="N574" s="8">
        <v>4</v>
      </c>
      <c r="O574" s="6">
        <v>0.43</v>
      </c>
      <c r="P574" s="10">
        <v>214.21</v>
      </c>
      <c r="Q574" s="11">
        <f t="shared" si="50"/>
        <v>213.80999999999997</v>
      </c>
      <c r="R574" t="str">
        <f t="shared" si="53"/>
        <v>profit</v>
      </c>
    </row>
    <row r="575" spans="1:18" ht="15.75" customHeight="1" x14ac:dyDescent="0.4">
      <c r="A575" s="1" t="s">
        <v>1165</v>
      </c>
      <c r="B575" s="2">
        <v>45127</v>
      </c>
      <c r="C575" s="2">
        <v>45127</v>
      </c>
      <c r="D575" s="2" t="str">
        <f t="shared" si="51"/>
        <v>2023</v>
      </c>
      <c r="E575" s="2" t="str">
        <f t="shared" si="48"/>
        <v>July</v>
      </c>
      <c r="F575" s="2" t="str">
        <f t="shared" si="52"/>
        <v>Q3</v>
      </c>
      <c r="G575" s="13">
        <f t="shared" si="49"/>
        <v>0</v>
      </c>
      <c r="H575" s="12" t="s">
        <v>23</v>
      </c>
      <c r="I575" s="1" t="s">
        <v>24</v>
      </c>
      <c r="J575" s="1" t="s">
        <v>14</v>
      </c>
      <c r="K575" s="1" t="s">
        <v>30</v>
      </c>
      <c r="L575" s="1" t="s">
        <v>1166</v>
      </c>
      <c r="M575" s="10">
        <v>580.49</v>
      </c>
      <c r="N575" s="8">
        <v>6</v>
      </c>
      <c r="O575" s="6">
        <v>0.34</v>
      </c>
      <c r="P575" s="10">
        <v>370.19</v>
      </c>
      <c r="Q575" s="11">
        <f t="shared" si="50"/>
        <v>210.3</v>
      </c>
      <c r="R575" t="str">
        <f t="shared" si="53"/>
        <v>profit</v>
      </c>
    </row>
    <row r="576" spans="1:18" ht="15.75" customHeight="1" x14ac:dyDescent="0.4">
      <c r="A576" s="1" t="s">
        <v>1167</v>
      </c>
      <c r="B576" s="2">
        <v>45511</v>
      </c>
      <c r="C576" s="2">
        <v>45515</v>
      </c>
      <c r="D576" s="2" t="str">
        <f t="shared" si="51"/>
        <v>2024</v>
      </c>
      <c r="E576" s="2" t="str">
        <f t="shared" si="48"/>
        <v>August</v>
      </c>
      <c r="F576" s="2" t="str">
        <f t="shared" si="52"/>
        <v>Q3</v>
      </c>
      <c r="G576" s="13">
        <f t="shared" si="49"/>
        <v>4</v>
      </c>
      <c r="H576" s="12" t="s">
        <v>42</v>
      </c>
      <c r="I576" s="1" t="s">
        <v>13</v>
      </c>
      <c r="J576" s="1" t="s">
        <v>14</v>
      </c>
      <c r="K576" s="1" t="s">
        <v>30</v>
      </c>
      <c r="L576" s="1" t="s">
        <v>1168</v>
      </c>
      <c r="M576" s="10">
        <v>797.41</v>
      </c>
      <c r="N576" s="8">
        <v>6</v>
      </c>
      <c r="O576" s="6">
        <v>0.2</v>
      </c>
      <c r="P576" s="10">
        <v>608.75</v>
      </c>
      <c r="Q576" s="11">
        <f t="shared" si="50"/>
        <v>188.65999999999997</v>
      </c>
      <c r="R576" t="str">
        <f t="shared" si="53"/>
        <v>profit</v>
      </c>
    </row>
    <row r="577" spans="1:18" ht="15.75" customHeight="1" x14ac:dyDescent="0.4">
      <c r="A577" s="1" t="s">
        <v>1169</v>
      </c>
      <c r="B577" s="2">
        <v>45286</v>
      </c>
      <c r="C577" s="2">
        <v>45290</v>
      </c>
      <c r="D577" s="2" t="str">
        <f t="shared" si="51"/>
        <v>2023</v>
      </c>
      <c r="E577" s="2" t="str">
        <f t="shared" si="48"/>
        <v>December</v>
      </c>
      <c r="F577" s="2" t="str">
        <f t="shared" si="52"/>
        <v>Q4</v>
      </c>
      <c r="G577" s="13">
        <f t="shared" si="49"/>
        <v>4</v>
      </c>
      <c r="H577" s="12" t="s">
        <v>1987</v>
      </c>
      <c r="I577" s="1" t="s">
        <v>18</v>
      </c>
      <c r="J577" s="1" t="s">
        <v>19</v>
      </c>
      <c r="K577" s="1" t="s">
        <v>20</v>
      </c>
      <c r="L577" s="1" t="s">
        <v>1170</v>
      </c>
      <c r="M577" s="10">
        <v>951.16</v>
      </c>
      <c r="N577" s="8">
        <v>10</v>
      </c>
      <c r="O577" s="6">
        <v>0.17</v>
      </c>
      <c r="P577" s="10">
        <v>744.68</v>
      </c>
      <c r="Q577" s="11">
        <f t="shared" si="50"/>
        <v>206.48000000000002</v>
      </c>
      <c r="R577" t="str">
        <f t="shared" si="53"/>
        <v>profit</v>
      </c>
    </row>
    <row r="578" spans="1:18" ht="15.75" customHeight="1" x14ac:dyDescent="0.4">
      <c r="A578" s="1" t="s">
        <v>1171</v>
      </c>
      <c r="B578" s="2">
        <v>45006</v>
      </c>
      <c r="C578" s="2">
        <v>45010</v>
      </c>
      <c r="D578" s="2" t="str">
        <f t="shared" si="51"/>
        <v>2023</v>
      </c>
      <c r="E578" s="2" t="str">
        <f t="shared" ref="E578:E641" si="54">TEXT(C578, "MMMM")</f>
        <v>March</v>
      </c>
      <c r="F578" s="2" t="str">
        <f t="shared" si="52"/>
        <v>Q2</v>
      </c>
      <c r="G578" s="13">
        <f t="shared" ref="G578:G641" si="55">DATEDIF(B578,C578, "D")</f>
        <v>4</v>
      </c>
      <c r="H578" s="12" t="s">
        <v>1986</v>
      </c>
      <c r="I578" s="1" t="s">
        <v>59</v>
      </c>
      <c r="J578" s="1" t="s">
        <v>25</v>
      </c>
      <c r="K578" s="1" t="s">
        <v>43</v>
      </c>
      <c r="L578" s="1" t="s">
        <v>1172</v>
      </c>
      <c r="M578" s="10">
        <v>100.73</v>
      </c>
      <c r="N578" s="8">
        <v>1</v>
      </c>
      <c r="O578" s="6">
        <v>0.33</v>
      </c>
      <c r="P578" s="10">
        <v>36.53</v>
      </c>
      <c r="Q578" s="11">
        <f t="shared" ref="Q578:Q641" si="56">M578 - P578</f>
        <v>64.2</v>
      </c>
      <c r="R578" t="str">
        <f t="shared" si="53"/>
        <v>profit</v>
      </c>
    </row>
    <row r="579" spans="1:18" ht="15.75" customHeight="1" x14ac:dyDescent="0.4">
      <c r="A579" s="1" t="s">
        <v>1173</v>
      </c>
      <c r="B579" s="2">
        <v>45076</v>
      </c>
      <c r="C579" s="2">
        <v>45078</v>
      </c>
      <c r="D579" s="2" t="str">
        <f t="shared" ref="D579:D642" si="57">IF(B579="","",TEXT(B579,"YYYY"))</f>
        <v>2023</v>
      </c>
      <c r="E579" s="2" t="str">
        <f t="shared" si="54"/>
        <v>June</v>
      </c>
      <c r="F579" s="2" t="str">
        <f t="shared" ref="F579:F642" si="58">IF(MONTH(C579)&lt;3,"Q1",IF(MONTH(C579)&lt;6,"Q2",IF(MONTH(C579)&lt;9,"Q3","Q4")))</f>
        <v>Q3</v>
      </c>
      <c r="G579" s="13">
        <f t="shared" si="55"/>
        <v>2</v>
      </c>
      <c r="H579" s="12" t="s">
        <v>23</v>
      </c>
      <c r="I579" s="1" t="s">
        <v>29</v>
      </c>
      <c r="J579" s="1" t="s">
        <v>14</v>
      </c>
      <c r="K579" s="1" t="s">
        <v>54</v>
      </c>
      <c r="L579" s="1" t="s">
        <v>900</v>
      </c>
      <c r="M579" s="10">
        <v>637.92999999999995</v>
      </c>
      <c r="N579" s="8">
        <v>10</v>
      </c>
      <c r="O579" s="6">
        <v>0.13</v>
      </c>
      <c r="P579" s="10">
        <v>529.83000000000004</v>
      </c>
      <c r="Q579" s="11">
        <f t="shared" si="56"/>
        <v>108.09999999999991</v>
      </c>
      <c r="R579" t="str">
        <f t="shared" si="53"/>
        <v>profit</v>
      </c>
    </row>
    <row r="580" spans="1:18" ht="15.75" customHeight="1" x14ac:dyDescent="0.4">
      <c r="A580" s="1" t="s">
        <v>1174</v>
      </c>
      <c r="B580" s="2">
        <v>45156</v>
      </c>
      <c r="C580" s="2">
        <v>45162</v>
      </c>
      <c r="D580" s="2" t="str">
        <f t="shared" si="57"/>
        <v>2023</v>
      </c>
      <c r="E580" s="2" t="str">
        <f t="shared" si="54"/>
        <v>August</v>
      </c>
      <c r="F580" s="2" t="str">
        <f t="shared" si="58"/>
        <v>Q3</v>
      </c>
      <c r="G580" s="13">
        <f t="shared" si="55"/>
        <v>6</v>
      </c>
      <c r="H580" s="12" t="s">
        <v>1986</v>
      </c>
      <c r="I580" s="1" t="s">
        <v>24</v>
      </c>
      <c r="J580" s="1" t="s">
        <v>25</v>
      </c>
      <c r="K580" s="1" t="s">
        <v>26</v>
      </c>
      <c r="L580" s="1" t="s">
        <v>547</v>
      </c>
      <c r="M580" s="10">
        <v>494.09</v>
      </c>
      <c r="N580" s="8">
        <v>8</v>
      </c>
      <c r="O580" s="6">
        <v>0.22</v>
      </c>
      <c r="P580" s="10">
        <v>367.43</v>
      </c>
      <c r="Q580" s="11">
        <f t="shared" si="56"/>
        <v>126.65999999999997</v>
      </c>
      <c r="R580" t="str">
        <f t="shared" ref="R580:R643" si="59">IF(P580&gt;0,"profit","loss")</f>
        <v>profit</v>
      </c>
    </row>
    <row r="581" spans="1:18" ht="15.75" customHeight="1" x14ac:dyDescent="0.4">
      <c r="A581" s="1" t="s">
        <v>1175</v>
      </c>
      <c r="B581" s="2">
        <v>45619</v>
      </c>
      <c r="C581" s="2">
        <v>45623</v>
      </c>
      <c r="D581" s="2" t="str">
        <f t="shared" si="57"/>
        <v>2024</v>
      </c>
      <c r="E581" s="2" t="str">
        <f t="shared" si="54"/>
        <v>November</v>
      </c>
      <c r="F581" s="2" t="str">
        <f t="shared" si="58"/>
        <v>Q4</v>
      </c>
      <c r="G581" s="13">
        <f t="shared" si="55"/>
        <v>4</v>
      </c>
      <c r="H581" s="12" t="s">
        <v>23</v>
      </c>
      <c r="I581" s="1" t="s">
        <v>29</v>
      </c>
      <c r="J581" s="1" t="s">
        <v>25</v>
      </c>
      <c r="K581" s="1" t="s">
        <v>26</v>
      </c>
      <c r="L581" s="1" t="s">
        <v>1176</v>
      </c>
      <c r="M581" s="10">
        <v>710.44</v>
      </c>
      <c r="N581" s="8">
        <v>2</v>
      </c>
      <c r="O581" s="6">
        <v>0.44</v>
      </c>
      <c r="P581" s="10">
        <v>376.56</v>
      </c>
      <c r="Q581" s="11">
        <f t="shared" si="56"/>
        <v>333.88000000000005</v>
      </c>
      <c r="R581" t="str">
        <f t="shared" si="59"/>
        <v>profit</v>
      </c>
    </row>
    <row r="582" spans="1:18" ht="15.75" customHeight="1" x14ac:dyDescent="0.4">
      <c r="A582" s="1" t="s">
        <v>1177</v>
      </c>
      <c r="C582" s="2">
        <v>45369</v>
      </c>
      <c r="D582" s="2" t="str">
        <f t="shared" si="57"/>
        <v/>
      </c>
      <c r="E582" s="2" t="str">
        <f t="shared" si="54"/>
        <v>March</v>
      </c>
      <c r="F582" s="2" t="str">
        <f t="shared" si="58"/>
        <v>Q2</v>
      </c>
      <c r="G582" s="13">
        <f t="shared" si="55"/>
        <v>45369</v>
      </c>
      <c r="H582" s="12" t="s">
        <v>1988</v>
      </c>
      <c r="I582" s="1" t="s">
        <v>53</v>
      </c>
      <c r="J582" s="1" t="s">
        <v>19</v>
      </c>
      <c r="K582" s="1" t="s">
        <v>20</v>
      </c>
      <c r="L582" s="1" t="s">
        <v>1178</v>
      </c>
      <c r="M582" s="11" t="s">
        <v>1989</v>
      </c>
      <c r="N582" s="8">
        <v>7</v>
      </c>
      <c r="O582" s="6">
        <v>0.37</v>
      </c>
      <c r="P582" s="10">
        <v>239.37</v>
      </c>
      <c r="Q582" s="11" t="e">
        <f t="shared" si="56"/>
        <v>#VALUE!</v>
      </c>
      <c r="R582" t="str">
        <f t="shared" si="59"/>
        <v>profit</v>
      </c>
    </row>
    <row r="583" spans="1:18" ht="15.75" customHeight="1" x14ac:dyDescent="0.4">
      <c r="A583" s="1" t="s">
        <v>1179</v>
      </c>
      <c r="B583" s="2">
        <v>44902</v>
      </c>
      <c r="C583" s="2">
        <v>44911</v>
      </c>
      <c r="D583" s="2" t="str">
        <f t="shared" si="57"/>
        <v>2022</v>
      </c>
      <c r="E583" s="2" t="str">
        <f t="shared" si="54"/>
        <v>December</v>
      </c>
      <c r="F583" s="2" t="str">
        <f t="shared" si="58"/>
        <v>Q4</v>
      </c>
      <c r="G583" s="13">
        <f t="shared" si="55"/>
        <v>9</v>
      </c>
      <c r="H583" s="12" t="s">
        <v>1987</v>
      </c>
      <c r="I583" s="1" t="s">
        <v>24</v>
      </c>
      <c r="J583" s="1" t="s">
        <v>19</v>
      </c>
      <c r="K583" s="1" t="s">
        <v>35</v>
      </c>
      <c r="L583" s="1" t="s">
        <v>1180</v>
      </c>
      <c r="M583" s="10">
        <v>73.290000000000006</v>
      </c>
      <c r="N583" s="8">
        <v>8</v>
      </c>
      <c r="O583" s="6">
        <v>0.48</v>
      </c>
      <c r="P583" s="10">
        <v>-2.64</v>
      </c>
      <c r="Q583" s="11">
        <f t="shared" si="56"/>
        <v>75.930000000000007</v>
      </c>
      <c r="R583" t="str">
        <f t="shared" si="59"/>
        <v>loss</v>
      </c>
    </row>
    <row r="584" spans="1:18" ht="15.75" customHeight="1" x14ac:dyDescent="0.4">
      <c r="A584" s="1" t="s">
        <v>1181</v>
      </c>
      <c r="B584" s="2">
        <v>45504</v>
      </c>
      <c r="C584" s="2">
        <v>45513</v>
      </c>
      <c r="D584" s="2" t="str">
        <f t="shared" si="57"/>
        <v>2024</v>
      </c>
      <c r="E584" s="2" t="str">
        <f t="shared" si="54"/>
        <v>August</v>
      </c>
      <c r="F584" s="2" t="str">
        <f t="shared" si="58"/>
        <v>Q3</v>
      </c>
      <c r="G584" s="13">
        <f t="shared" si="55"/>
        <v>9</v>
      </c>
      <c r="H584" s="12" t="s">
        <v>1987</v>
      </c>
      <c r="I584" s="1" t="s">
        <v>46</v>
      </c>
      <c r="J584" s="1" t="s">
        <v>19</v>
      </c>
      <c r="K584" s="1" t="s">
        <v>92</v>
      </c>
      <c r="L584" s="1" t="s">
        <v>1182</v>
      </c>
      <c r="M584" s="10">
        <v>684.74</v>
      </c>
      <c r="N584" s="8">
        <v>2</v>
      </c>
      <c r="O584" s="6">
        <v>0.23</v>
      </c>
      <c r="P584" s="10">
        <v>494.62</v>
      </c>
      <c r="Q584" s="11">
        <f t="shared" si="56"/>
        <v>190.12</v>
      </c>
      <c r="R584" t="str">
        <f t="shared" si="59"/>
        <v>profit</v>
      </c>
    </row>
    <row r="585" spans="1:18" ht="15.75" customHeight="1" x14ac:dyDescent="0.4">
      <c r="A585" s="1" t="s">
        <v>1183</v>
      </c>
      <c r="B585" s="2">
        <v>45161</v>
      </c>
      <c r="C585" s="2">
        <v>45169</v>
      </c>
      <c r="D585" s="2" t="str">
        <f t="shared" si="57"/>
        <v>2023</v>
      </c>
      <c r="E585" s="2" t="str">
        <f t="shared" si="54"/>
        <v>August</v>
      </c>
      <c r="F585" s="2" t="str">
        <f t="shared" si="58"/>
        <v>Q3</v>
      </c>
      <c r="G585" s="13">
        <f t="shared" si="55"/>
        <v>8</v>
      </c>
      <c r="H585" s="12" t="s">
        <v>1987</v>
      </c>
      <c r="I585" s="1" t="s">
        <v>29</v>
      </c>
      <c r="J585" s="1" t="s">
        <v>25</v>
      </c>
      <c r="K585" s="1" t="s">
        <v>26</v>
      </c>
      <c r="L585" s="1" t="s">
        <v>1184</v>
      </c>
      <c r="M585" s="10">
        <v>304.7</v>
      </c>
      <c r="N585" s="8">
        <v>10</v>
      </c>
      <c r="O585" s="6">
        <v>0.42</v>
      </c>
      <c r="P585" s="10">
        <v>141.94999999999999</v>
      </c>
      <c r="Q585" s="11">
        <f t="shared" si="56"/>
        <v>162.75</v>
      </c>
      <c r="R585" t="str">
        <f t="shared" si="59"/>
        <v>profit</v>
      </c>
    </row>
    <row r="586" spans="1:18" ht="15.75" customHeight="1" x14ac:dyDescent="0.4">
      <c r="A586" s="1" t="s">
        <v>1185</v>
      </c>
      <c r="B586" s="2">
        <v>44993</v>
      </c>
      <c r="C586" s="2">
        <v>45001</v>
      </c>
      <c r="D586" s="2" t="str">
        <f t="shared" si="57"/>
        <v>2023</v>
      </c>
      <c r="E586" s="2" t="str">
        <f t="shared" si="54"/>
        <v>March</v>
      </c>
      <c r="F586" s="2" t="str">
        <f t="shared" si="58"/>
        <v>Q2</v>
      </c>
      <c r="G586" s="13">
        <f t="shared" si="55"/>
        <v>8</v>
      </c>
      <c r="H586" s="12" t="s">
        <v>1987</v>
      </c>
      <c r="I586" s="1" t="s">
        <v>24</v>
      </c>
      <c r="J586" s="1" t="s">
        <v>19</v>
      </c>
      <c r="K586" s="1" t="s">
        <v>35</v>
      </c>
      <c r="L586" s="1" t="s">
        <v>1186</v>
      </c>
      <c r="M586" s="10">
        <v>827.54</v>
      </c>
      <c r="N586" s="8">
        <v>1</v>
      </c>
      <c r="O586" s="6">
        <v>0.41</v>
      </c>
      <c r="P586" s="10">
        <v>468.84</v>
      </c>
      <c r="Q586" s="11">
        <f t="shared" si="56"/>
        <v>358.7</v>
      </c>
      <c r="R586" t="str">
        <f t="shared" si="59"/>
        <v>profit</v>
      </c>
    </row>
    <row r="587" spans="1:18" ht="15.75" customHeight="1" x14ac:dyDescent="0.4">
      <c r="A587" s="1" t="s">
        <v>1187</v>
      </c>
      <c r="B587" s="2">
        <v>45429</v>
      </c>
      <c r="C587" s="2">
        <v>45429</v>
      </c>
      <c r="D587" s="2" t="str">
        <f t="shared" si="57"/>
        <v>2024</v>
      </c>
      <c r="E587" s="2" t="str">
        <f t="shared" si="54"/>
        <v>May</v>
      </c>
      <c r="F587" s="2" t="str">
        <f t="shared" si="58"/>
        <v>Q2</v>
      </c>
      <c r="G587" s="13">
        <f t="shared" si="55"/>
        <v>0</v>
      </c>
      <c r="H587" s="12" t="s">
        <v>42</v>
      </c>
      <c r="I587" s="1" t="s">
        <v>53</v>
      </c>
      <c r="J587" s="1" t="s">
        <v>19</v>
      </c>
      <c r="K587" s="1" t="s">
        <v>20</v>
      </c>
      <c r="L587" s="1" t="s">
        <v>1188</v>
      </c>
      <c r="M587" s="10">
        <v>77.5</v>
      </c>
      <c r="N587" s="8">
        <v>9</v>
      </c>
      <c r="O587" s="6">
        <v>0.09</v>
      </c>
      <c r="P587" s="10">
        <v>29.68</v>
      </c>
      <c r="Q587" s="11">
        <f t="shared" si="56"/>
        <v>47.82</v>
      </c>
      <c r="R587" t="str">
        <f t="shared" si="59"/>
        <v>profit</v>
      </c>
    </row>
    <row r="588" spans="1:18" ht="15.75" customHeight="1" x14ac:dyDescent="0.4">
      <c r="A588" s="1" t="s">
        <v>1189</v>
      </c>
      <c r="B588" s="2">
        <v>45541</v>
      </c>
      <c r="C588" s="2">
        <v>45543</v>
      </c>
      <c r="D588" s="2" t="str">
        <f t="shared" si="57"/>
        <v>2024</v>
      </c>
      <c r="E588" s="2" t="str">
        <f t="shared" si="54"/>
        <v>September</v>
      </c>
      <c r="F588" s="2" t="str">
        <f t="shared" si="58"/>
        <v>Q4</v>
      </c>
      <c r="G588" s="13">
        <f t="shared" si="55"/>
        <v>2</v>
      </c>
      <c r="H588" s="12" t="s">
        <v>1986</v>
      </c>
      <c r="I588" s="1" t="s">
        <v>18</v>
      </c>
      <c r="J588" s="1" t="s">
        <v>19</v>
      </c>
      <c r="K588" s="1" t="s">
        <v>20</v>
      </c>
      <c r="L588" s="1" t="s">
        <v>1190</v>
      </c>
      <c r="M588" s="10">
        <v>794.57</v>
      </c>
      <c r="N588" s="8">
        <v>6</v>
      </c>
      <c r="O588" s="6">
        <v>0.36</v>
      </c>
      <c r="P588" s="10">
        <v>487.47</v>
      </c>
      <c r="Q588" s="11">
        <f t="shared" si="56"/>
        <v>307.10000000000002</v>
      </c>
      <c r="R588" t="str">
        <f t="shared" si="59"/>
        <v>profit</v>
      </c>
    </row>
    <row r="589" spans="1:18" ht="15.75" customHeight="1" x14ac:dyDescent="0.4">
      <c r="A589" s="1" t="s">
        <v>1191</v>
      </c>
      <c r="B589" s="2">
        <v>45346</v>
      </c>
      <c r="C589" s="2">
        <v>45346</v>
      </c>
      <c r="D589" s="2" t="str">
        <f t="shared" si="57"/>
        <v>2024</v>
      </c>
      <c r="E589" s="2" t="str">
        <f t="shared" si="54"/>
        <v>February</v>
      </c>
      <c r="F589" s="2" t="str">
        <f t="shared" si="58"/>
        <v>Q1</v>
      </c>
      <c r="G589" s="13">
        <f t="shared" si="55"/>
        <v>0</v>
      </c>
      <c r="H589" s="12" t="s">
        <v>1986</v>
      </c>
      <c r="I589" s="1" t="s">
        <v>24</v>
      </c>
      <c r="J589" s="1" t="s">
        <v>25</v>
      </c>
      <c r="K589" s="1" t="s">
        <v>43</v>
      </c>
      <c r="L589" s="1" t="s">
        <v>1192</v>
      </c>
      <c r="M589" s="10">
        <v>686.34</v>
      </c>
      <c r="N589" s="8">
        <v>2</v>
      </c>
      <c r="O589" s="6">
        <v>0.33</v>
      </c>
      <c r="P589" s="10">
        <v>422.63</v>
      </c>
      <c r="Q589" s="11">
        <f t="shared" si="56"/>
        <v>263.71000000000004</v>
      </c>
      <c r="R589" t="str">
        <f t="shared" si="59"/>
        <v>profit</v>
      </c>
    </row>
    <row r="590" spans="1:18" ht="15.75" customHeight="1" x14ac:dyDescent="0.4">
      <c r="A590" s="1" t="s">
        <v>1193</v>
      </c>
      <c r="B590" s="2">
        <v>45439</v>
      </c>
      <c r="C590" s="2">
        <v>45445</v>
      </c>
      <c r="D590" s="2" t="str">
        <f t="shared" si="57"/>
        <v>2024</v>
      </c>
      <c r="E590" s="2" t="str">
        <f t="shared" si="54"/>
        <v>June</v>
      </c>
      <c r="F590" s="2" t="str">
        <f t="shared" si="58"/>
        <v>Q3</v>
      </c>
      <c r="G590" s="13">
        <f t="shared" si="55"/>
        <v>6</v>
      </c>
      <c r="H590" s="12" t="s">
        <v>42</v>
      </c>
      <c r="I590" s="1" t="s">
        <v>24</v>
      </c>
      <c r="J590" s="1" t="s">
        <v>14</v>
      </c>
      <c r="K590" s="1" t="s">
        <v>15</v>
      </c>
      <c r="L590" s="1" t="s">
        <v>1194</v>
      </c>
      <c r="M590" s="10">
        <v>133.58000000000001</v>
      </c>
      <c r="N590" s="8">
        <v>9</v>
      </c>
      <c r="O590" s="6">
        <v>0.22</v>
      </c>
      <c r="P590" s="10">
        <v>56.44</v>
      </c>
      <c r="Q590" s="11">
        <f t="shared" si="56"/>
        <v>77.140000000000015</v>
      </c>
      <c r="R590" t="str">
        <f t="shared" si="59"/>
        <v>profit</v>
      </c>
    </row>
    <row r="591" spans="1:18" ht="15.75" customHeight="1" x14ac:dyDescent="0.4">
      <c r="A591" s="1" t="s">
        <v>1195</v>
      </c>
      <c r="B591" s="2">
        <v>45030</v>
      </c>
      <c r="C591" s="2">
        <v>45037</v>
      </c>
      <c r="D591" s="2" t="str">
        <f t="shared" si="57"/>
        <v>2023</v>
      </c>
      <c r="E591" s="2" t="str">
        <f t="shared" si="54"/>
        <v>April</v>
      </c>
      <c r="F591" s="2" t="str">
        <f t="shared" si="58"/>
        <v>Q2</v>
      </c>
      <c r="G591" s="13">
        <f t="shared" si="55"/>
        <v>7</v>
      </c>
      <c r="H591" s="12" t="s">
        <v>1987</v>
      </c>
      <c r="I591" s="1" t="s">
        <v>29</v>
      </c>
      <c r="J591" s="1" t="s">
        <v>19</v>
      </c>
      <c r="K591" s="1" t="s">
        <v>20</v>
      </c>
      <c r="L591" s="1" t="s">
        <v>1196</v>
      </c>
      <c r="M591" s="10">
        <v>495.29</v>
      </c>
      <c r="N591" s="8">
        <v>10</v>
      </c>
      <c r="O591" s="6">
        <v>0.32</v>
      </c>
      <c r="P591" s="10">
        <v>297.01</v>
      </c>
      <c r="Q591" s="11">
        <f t="shared" si="56"/>
        <v>198.28000000000003</v>
      </c>
      <c r="R591" t="str">
        <f t="shared" si="59"/>
        <v>profit</v>
      </c>
    </row>
    <row r="592" spans="1:18" ht="15.75" customHeight="1" x14ac:dyDescent="0.4">
      <c r="A592" s="1" t="s">
        <v>1197</v>
      </c>
      <c r="B592" s="2">
        <v>45444</v>
      </c>
      <c r="C592" s="2">
        <v>45450</v>
      </c>
      <c r="D592" s="2" t="str">
        <f t="shared" si="57"/>
        <v>2024</v>
      </c>
      <c r="E592" s="2" t="str">
        <f t="shared" si="54"/>
        <v>June</v>
      </c>
      <c r="F592" s="2" t="str">
        <f t="shared" si="58"/>
        <v>Q3</v>
      </c>
      <c r="G592" s="13">
        <f t="shared" si="55"/>
        <v>6</v>
      </c>
      <c r="H592" s="12" t="s">
        <v>1987</v>
      </c>
      <c r="I592" s="1" t="s">
        <v>29</v>
      </c>
      <c r="J592" s="1" t="s">
        <v>14</v>
      </c>
      <c r="K592" s="1" t="s">
        <v>54</v>
      </c>
      <c r="L592" s="1" t="s">
        <v>1198</v>
      </c>
      <c r="M592" s="10">
        <v>429.64</v>
      </c>
      <c r="N592" s="8">
        <v>4</v>
      </c>
      <c r="O592" s="6">
        <v>0.45</v>
      </c>
      <c r="P592" s="10">
        <v>221.02</v>
      </c>
      <c r="Q592" s="11">
        <f t="shared" si="56"/>
        <v>208.61999999999998</v>
      </c>
      <c r="R592" t="str">
        <f t="shared" si="59"/>
        <v>profit</v>
      </c>
    </row>
    <row r="593" spans="1:18" ht="15.75" customHeight="1" x14ac:dyDescent="0.4">
      <c r="A593" s="1" t="s">
        <v>1199</v>
      </c>
      <c r="B593" s="2">
        <v>44996</v>
      </c>
      <c r="C593" s="2">
        <v>44997</v>
      </c>
      <c r="D593" s="2" t="str">
        <f t="shared" si="57"/>
        <v>2023</v>
      </c>
      <c r="E593" s="2" t="str">
        <f t="shared" si="54"/>
        <v>March</v>
      </c>
      <c r="F593" s="2" t="str">
        <f t="shared" si="58"/>
        <v>Q2</v>
      </c>
      <c r="G593" s="13">
        <f t="shared" si="55"/>
        <v>1</v>
      </c>
      <c r="H593" s="12" t="s">
        <v>42</v>
      </c>
      <c r="I593" s="1" t="s">
        <v>13</v>
      </c>
      <c r="J593" s="1" t="s">
        <v>25</v>
      </c>
      <c r="K593" s="1" t="s">
        <v>43</v>
      </c>
      <c r="L593" s="1" t="s">
        <v>1200</v>
      </c>
      <c r="M593" s="10">
        <v>235.75</v>
      </c>
      <c r="N593" s="8">
        <v>9</v>
      </c>
      <c r="O593" s="6">
        <v>0.44</v>
      </c>
      <c r="P593" s="10">
        <v>113.93</v>
      </c>
      <c r="Q593" s="11">
        <f t="shared" si="56"/>
        <v>121.82</v>
      </c>
      <c r="R593" t="str">
        <f t="shared" si="59"/>
        <v>profit</v>
      </c>
    </row>
    <row r="594" spans="1:18" ht="15.75" customHeight="1" x14ac:dyDescent="0.4">
      <c r="A594" s="1" t="s">
        <v>1201</v>
      </c>
      <c r="B594" s="2">
        <v>45237</v>
      </c>
      <c r="C594" s="2">
        <v>45237</v>
      </c>
      <c r="D594" s="2" t="str">
        <f t="shared" si="57"/>
        <v>2023</v>
      </c>
      <c r="E594" s="2" t="str">
        <f t="shared" si="54"/>
        <v>November</v>
      </c>
      <c r="F594" s="2" t="str">
        <f t="shared" si="58"/>
        <v>Q4</v>
      </c>
      <c r="G594" s="13">
        <f t="shared" si="55"/>
        <v>0</v>
      </c>
      <c r="H594" s="12" t="s">
        <v>1986</v>
      </c>
      <c r="I594" s="1" t="s">
        <v>18</v>
      </c>
      <c r="J594" s="1" t="s">
        <v>14</v>
      </c>
      <c r="K594" s="1" t="s">
        <v>30</v>
      </c>
      <c r="L594" s="1" t="s">
        <v>1202</v>
      </c>
      <c r="M594" s="10">
        <v>339.83</v>
      </c>
      <c r="N594" s="8">
        <v>10</v>
      </c>
      <c r="O594" s="6">
        <v>0.25</v>
      </c>
      <c r="P594" s="10">
        <v>218.37</v>
      </c>
      <c r="Q594" s="11">
        <f t="shared" si="56"/>
        <v>121.45999999999998</v>
      </c>
      <c r="R594" t="str">
        <f t="shared" si="59"/>
        <v>profit</v>
      </c>
    </row>
    <row r="595" spans="1:18" ht="15.75" customHeight="1" x14ac:dyDescent="0.4">
      <c r="A595" s="1" t="s">
        <v>1203</v>
      </c>
      <c r="B595" s="2">
        <v>45274</v>
      </c>
      <c r="C595" s="2">
        <v>45274</v>
      </c>
      <c r="D595" s="2" t="str">
        <f t="shared" si="57"/>
        <v>2023</v>
      </c>
      <c r="E595" s="2" t="str">
        <f t="shared" si="54"/>
        <v>December</v>
      </c>
      <c r="F595" s="2" t="str">
        <f t="shared" si="58"/>
        <v>Q4</v>
      </c>
      <c r="G595" s="13">
        <f t="shared" si="55"/>
        <v>0</v>
      </c>
      <c r="H595" s="12" t="s">
        <v>23</v>
      </c>
      <c r="I595" s="1" t="s">
        <v>59</v>
      </c>
      <c r="J595" s="1" t="s">
        <v>14</v>
      </c>
      <c r="K595" s="1" t="s">
        <v>54</v>
      </c>
      <c r="L595" s="1" t="s">
        <v>1204</v>
      </c>
      <c r="M595" s="10">
        <v>238.78</v>
      </c>
      <c r="N595" s="8">
        <v>4</v>
      </c>
      <c r="O595" s="6">
        <v>0.28999999999999998</v>
      </c>
      <c r="P595" s="10">
        <v>134.84</v>
      </c>
      <c r="Q595" s="11">
        <f t="shared" si="56"/>
        <v>103.94</v>
      </c>
      <c r="R595" t="str">
        <f t="shared" si="59"/>
        <v>profit</v>
      </c>
    </row>
    <row r="596" spans="1:18" ht="15.75" customHeight="1" x14ac:dyDescent="0.4">
      <c r="A596" s="1" t="s">
        <v>1205</v>
      </c>
      <c r="B596" s="2">
        <v>45363</v>
      </c>
      <c r="C596" s="2">
        <v>45364</v>
      </c>
      <c r="D596" s="2" t="str">
        <f t="shared" si="57"/>
        <v>2024</v>
      </c>
      <c r="E596" s="2" t="str">
        <f t="shared" si="54"/>
        <v>March</v>
      </c>
      <c r="F596" s="2" t="str">
        <f t="shared" si="58"/>
        <v>Q2</v>
      </c>
      <c r="G596" s="13">
        <f t="shared" si="55"/>
        <v>1</v>
      </c>
      <c r="H596" s="12" t="s">
        <v>23</v>
      </c>
      <c r="I596" s="1" t="s">
        <v>24</v>
      </c>
      <c r="J596" s="1" t="s">
        <v>25</v>
      </c>
      <c r="K596" s="1" t="s">
        <v>26</v>
      </c>
      <c r="L596" s="1" t="s">
        <v>1206</v>
      </c>
      <c r="M596" s="10">
        <v>144.74</v>
      </c>
      <c r="N596" s="8">
        <v>7</v>
      </c>
      <c r="O596" s="6">
        <v>0.17</v>
      </c>
      <c r="P596" s="10">
        <v>81.709999999999994</v>
      </c>
      <c r="Q596" s="11">
        <f t="shared" si="56"/>
        <v>63.030000000000015</v>
      </c>
      <c r="R596" t="str">
        <f t="shared" si="59"/>
        <v>profit</v>
      </c>
    </row>
    <row r="597" spans="1:18" ht="15.75" customHeight="1" x14ac:dyDescent="0.4">
      <c r="A597" s="1" t="s">
        <v>1207</v>
      </c>
      <c r="B597" s="2">
        <v>45458</v>
      </c>
      <c r="C597" s="2">
        <v>45464</v>
      </c>
      <c r="D597" s="2" t="str">
        <f t="shared" si="57"/>
        <v>2024</v>
      </c>
      <c r="E597" s="2" t="str">
        <f t="shared" si="54"/>
        <v>June</v>
      </c>
      <c r="F597" s="2" t="str">
        <f t="shared" si="58"/>
        <v>Q3</v>
      </c>
      <c r="G597" s="13">
        <f t="shared" si="55"/>
        <v>6</v>
      </c>
      <c r="H597" s="12" t="s">
        <v>1986</v>
      </c>
      <c r="I597" s="1" t="s">
        <v>13</v>
      </c>
      <c r="J597" s="1" t="s">
        <v>14</v>
      </c>
      <c r="K597" s="1" t="s">
        <v>15</v>
      </c>
      <c r="L597" s="1" t="s">
        <v>720</v>
      </c>
      <c r="M597" s="10">
        <v>531.20000000000005</v>
      </c>
      <c r="N597" s="8">
        <v>2</v>
      </c>
      <c r="O597" s="6">
        <v>0.1</v>
      </c>
      <c r="P597" s="10">
        <v>463.58</v>
      </c>
      <c r="Q597" s="11">
        <f t="shared" si="56"/>
        <v>67.620000000000061</v>
      </c>
      <c r="R597" t="str">
        <f t="shared" si="59"/>
        <v>profit</v>
      </c>
    </row>
    <row r="598" spans="1:18" ht="15.75" customHeight="1" x14ac:dyDescent="0.4">
      <c r="A598" s="1" t="s">
        <v>1208</v>
      </c>
      <c r="B598" s="2">
        <v>45146</v>
      </c>
      <c r="C598" s="2">
        <v>45152</v>
      </c>
      <c r="D598" s="2" t="str">
        <f t="shared" si="57"/>
        <v>2023</v>
      </c>
      <c r="E598" s="2" t="str">
        <f t="shared" si="54"/>
        <v>August</v>
      </c>
      <c r="F598" s="2" t="str">
        <f t="shared" si="58"/>
        <v>Q3</v>
      </c>
      <c r="G598" s="13">
        <f t="shared" si="55"/>
        <v>6</v>
      </c>
      <c r="H598" s="12" t="s">
        <v>42</v>
      </c>
      <c r="I598" s="1" t="s">
        <v>13</v>
      </c>
      <c r="J598" s="1" t="s">
        <v>19</v>
      </c>
      <c r="K598" s="1" t="s">
        <v>35</v>
      </c>
      <c r="L598" s="1" t="s">
        <v>1209</v>
      </c>
      <c r="M598" s="10">
        <v>828.9</v>
      </c>
      <c r="N598" s="8">
        <v>4</v>
      </c>
      <c r="O598" s="6">
        <v>0.32</v>
      </c>
      <c r="P598" s="10">
        <v>520.94000000000005</v>
      </c>
      <c r="Q598" s="11">
        <f t="shared" si="56"/>
        <v>307.95999999999992</v>
      </c>
      <c r="R598" t="str">
        <f t="shared" si="59"/>
        <v>profit</v>
      </c>
    </row>
    <row r="599" spans="1:18" ht="15.75" customHeight="1" x14ac:dyDescent="0.4">
      <c r="A599" s="1" t="s">
        <v>1210</v>
      </c>
      <c r="C599" s="2">
        <v>45340</v>
      </c>
      <c r="D599" s="2" t="str">
        <f t="shared" si="57"/>
        <v/>
      </c>
      <c r="E599" s="2" t="str">
        <f t="shared" si="54"/>
        <v>February</v>
      </c>
      <c r="F599" s="2" t="str">
        <f t="shared" si="58"/>
        <v>Q1</v>
      </c>
      <c r="G599" s="13">
        <f t="shared" si="55"/>
        <v>45340</v>
      </c>
      <c r="H599" s="12" t="s">
        <v>1988</v>
      </c>
      <c r="I599" s="1" t="s">
        <v>50</v>
      </c>
      <c r="J599" s="1" t="s">
        <v>25</v>
      </c>
      <c r="K599" s="1" t="s">
        <v>47</v>
      </c>
      <c r="L599" s="1" t="s">
        <v>1211</v>
      </c>
      <c r="M599" s="11" t="s">
        <v>1989</v>
      </c>
      <c r="N599" s="8">
        <v>6</v>
      </c>
      <c r="O599" s="6">
        <v>0.44</v>
      </c>
      <c r="P599" s="10">
        <v>181.35</v>
      </c>
      <c r="Q599" s="11" t="e">
        <f t="shared" si="56"/>
        <v>#VALUE!</v>
      </c>
      <c r="R599" t="str">
        <f t="shared" si="59"/>
        <v>profit</v>
      </c>
    </row>
    <row r="600" spans="1:18" ht="15.75" customHeight="1" x14ac:dyDescent="0.4">
      <c r="A600" s="1" t="s">
        <v>1212</v>
      </c>
      <c r="B600" s="2">
        <v>45257</v>
      </c>
      <c r="C600" s="2">
        <v>45266</v>
      </c>
      <c r="D600" s="2" t="str">
        <f t="shared" si="57"/>
        <v>2023</v>
      </c>
      <c r="E600" s="2" t="str">
        <f t="shared" si="54"/>
        <v>December</v>
      </c>
      <c r="F600" s="2" t="str">
        <f t="shared" si="58"/>
        <v>Q4</v>
      </c>
      <c r="G600" s="13">
        <f t="shared" si="55"/>
        <v>9</v>
      </c>
      <c r="H600" s="12" t="s">
        <v>23</v>
      </c>
      <c r="I600" s="1" t="s">
        <v>29</v>
      </c>
      <c r="J600" s="1" t="s">
        <v>19</v>
      </c>
      <c r="K600" s="1" t="s">
        <v>35</v>
      </c>
      <c r="L600" s="1" t="s">
        <v>1213</v>
      </c>
      <c r="M600" s="10">
        <v>203.99</v>
      </c>
      <c r="N600" s="8">
        <v>2</v>
      </c>
      <c r="O600" s="6">
        <v>0.38</v>
      </c>
      <c r="P600" s="10">
        <v>91.3</v>
      </c>
      <c r="Q600" s="11">
        <f t="shared" si="56"/>
        <v>112.69000000000001</v>
      </c>
      <c r="R600" t="str">
        <f t="shared" si="59"/>
        <v>profit</v>
      </c>
    </row>
    <row r="601" spans="1:18" ht="15.75" customHeight="1" x14ac:dyDescent="0.4">
      <c r="A601" s="1" t="s">
        <v>1214</v>
      </c>
      <c r="B601" s="2">
        <v>45549</v>
      </c>
      <c r="C601" s="2">
        <v>45555</v>
      </c>
      <c r="D601" s="2" t="str">
        <f t="shared" si="57"/>
        <v>2024</v>
      </c>
      <c r="E601" s="2" t="str">
        <f t="shared" si="54"/>
        <v>September</v>
      </c>
      <c r="F601" s="2" t="str">
        <f t="shared" si="58"/>
        <v>Q4</v>
      </c>
      <c r="G601" s="13">
        <f t="shared" si="55"/>
        <v>6</v>
      </c>
      <c r="H601" s="12" t="s">
        <v>42</v>
      </c>
      <c r="I601" s="1" t="s">
        <v>50</v>
      </c>
      <c r="J601" s="1" t="s">
        <v>19</v>
      </c>
      <c r="K601" s="1" t="s">
        <v>35</v>
      </c>
      <c r="L601" s="1" t="s">
        <v>1215</v>
      </c>
      <c r="M601" s="10">
        <v>290.14999999999998</v>
      </c>
      <c r="N601" s="8">
        <v>5</v>
      </c>
      <c r="O601" s="6">
        <v>0.17</v>
      </c>
      <c r="P601" s="10">
        <v>214.98</v>
      </c>
      <c r="Q601" s="11">
        <f t="shared" si="56"/>
        <v>75.169999999999987</v>
      </c>
      <c r="R601" t="str">
        <f t="shared" si="59"/>
        <v>profit</v>
      </c>
    </row>
    <row r="602" spans="1:18" ht="15.75" customHeight="1" x14ac:dyDescent="0.4">
      <c r="A602" s="1" t="s">
        <v>1216</v>
      </c>
      <c r="B602" s="2">
        <v>45570</v>
      </c>
      <c r="C602" s="2">
        <v>45575</v>
      </c>
      <c r="D602" s="2" t="str">
        <f t="shared" si="57"/>
        <v>2024</v>
      </c>
      <c r="E602" s="2" t="str">
        <f t="shared" si="54"/>
        <v>October</v>
      </c>
      <c r="F602" s="2" t="str">
        <f t="shared" si="58"/>
        <v>Q4</v>
      </c>
      <c r="G602" s="13">
        <f t="shared" si="55"/>
        <v>5</v>
      </c>
      <c r="H602" s="12" t="s">
        <v>1986</v>
      </c>
      <c r="I602" s="1" t="s">
        <v>24</v>
      </c>
      <c r="J602" s="1" t="s">
        <v>25</v>
      </c>
      <c r="K602" s="1" t="s">
        <v>47</v>
      </c>
      <c r="L602" s="1" t="s">
        <v>1217</v>
      </c>
      <c r="M602" s="10">
        <v>217.58</v>
      </c>
      <c r="N602" s="8">
        <v>3</v>
      </c>
      <c r="O602" s="6">
        <v>0.39</v>
      </c>
      <c r="P602" s="10">
        <v>106.03</v>
      </c>
      <c r="Q602" s="11">
        <f t="shared" si="56"/>
        <v>111.55000000000001</v>
      </c>
      <c r="R602" t="str">
        <f t="shared" si="59"/>
        <v>profit</v>
      </c>
    </row>
    <row r="603" spans="1:18" ht="15.75" customHeight="1" x14ac:dyDescent="0.4">
      <c r="A603" s="1" t="s">
        <v>1218</v>
      </c>
      <c r="B603" s="2">
        <v>45456</v>
      </c>
      <c r="C603" s="2">
        <v>45458</v>
      </c>
      <c r="D603" s="2" t="str">
        <f t="shared" si="57"/>
        <v>2024</v>
      </c>
      <c r="E603" s="2" t="str">
        <f t="shared" si="54"/>
        <v>June</v>
      </c>
      <c r="F603" s="2" t="str">
        <f t="shared" si="58"/>
        <v>Q3</v>
      </c>
      <c r="G603" s="13">
        <f t="shared" si="55"/>
        <v>2</v>
      </c>
      <c r="H603" s="12" t="s">
        <v>1987</v>
      </c>
      <c r="I603" s="1" t="s">
        <v>24</v>
      </c>
      <c r="J603" s="1" t="s">
        <v>25</v>
      </c>
      <c r="K603" s="1" t="s">
        <v>43</v>
      </c>
      <c r="L603" s="1" t="s">
        <v>1219</v>
      </c>
      <c r="M603" s="10">
        <v>764.37</v>
      </c>
      <c r="N603" s="8">
        <v>7</v>
      </c>
      <c r="O603" s="6">
        <v>0.49</v>
      </c>
      <c r="P603" s="10">
        <v>374.37</v>
      </c>
      <c r="Q603" s="11">
        <f t="shared" si="56"/>
        <v>390</v>
      </c>
      <c r="R603" t="str">
        <f t="shared" si="59"/>
        <v>profit</v>
      </c>
    </row>
    <row r="604" spans="1:18" ht="15.75" customHeight="1" x14ac:dyDescent="0.4">
      <c r="A604" s="1" t="s">
        <v>1220</v>
      </c>
      <c r="B604" s="2">
        <v>45090</v>
      </c>
      <c r="C604" s="2">
        <v>45097</v>
      </c>
      <c r="D604" s="2" t="str">
        <f t="shared" si="57"/>
        <v>2023</v>
      </c>
      <c r="E604" s="2" t="str">
        <f t="shared" si="54"/>
        <v>June</v>
      </c>
      <c r="F604" s="2" t="str">
        <f t="shared" si="58"/>
        <v>Q3</v>
      </c>
      <c r="G604" s="13">
        <f t="shared" si="55"/>
        <v>7</v>
      </c>
      <c r="H604" s="12" t="s">
        <v>42</v>
      </c>
      <c r="I604" s="1" t="s">
        <v>59</v>
      </c>
      <c r="J604" s="1" t="s">
        <v>19</v>
      </c>
      <c r="K604" s="1" t="s">
        <v>35</v>
      </c>
      <c r="L604" s="1" t="s">
        <v>1221</v>
      </c>
      <c r="M604" s="10">
        <v>76.92</v>
      </c>
      <c r="N604" s="8">
        <v>6</v>
      </c>
      <c r="O604" s="6">
        <v>0.06</v>
      </c>
      <c r="P604" s="10">
        <v>40.700000000000003</v>
      </c>
      <c r="Q604" s="11">
        <f t="shared" si="56"/>
        <v>36.22</v>
      </c>
      <c r="R604" t="str">
        <f t="shared" si="59"/>
        <v>profit</v>
      </c>
    </row>
    <row r="605" spans="1:18" ht="15.75" customHeight="1" x14ac:dyDescent="0.4">
      <c r="A605" s="1" t="s">
        <v>1222</v>
      </c>
      <c r="B605" s="2">
        <v>44994</v>
      </c>
      <c r="C605" s="2">
        <v>44998</v>
      </c>
      <c r="D605" s="2" t="str">
        <f t="shared" si="57"/>
        <v>2023</v>
      </c>
      <c r="E605" s="2" t="str">
        <f t="shared" si="54"/>
        <v>March</v>
      </c>
      <c r="F605" s="2" t="str">
        <f t="shared" si="58"/>
        <v>Q2</v>
      </c>
      <c r="G605" s="13">
        <f t="shared" si="55"/>
        <v>4</v>
      </c>
      <c r="H605" s="12" t="s">
        <v>1987</v>
      </c>
      <c r="I605" s="1" t="s">
        <v>46</v>
      </c>
      <c r="J605" s="1" t="s">
        <v>19</v>
      </c>
      <c r="K605" s="1" t="s">
        <v>92</v>
      </c>
      <c r="L605" s="1" t="s">
        <v>1223</v>
      </c>
      <c r="M605" s="10">
        <v>252.25</v>
      </c>
      <c r="N605" s="8">
        <v>4</v>
      </c>
      <c r="O605" s="6">
        <v>0.03</v>
      </c>
      <c r="P605" s="10">
        <v>204.48</v>
      </c>
      <c r="Q605" s="11">
        <f t="shared" si="56"/>
        <v>47.77000000000001</v>
      </c>
      <c r="R605" t="str">
        <f t="shared" si="59"/>
        <v>profit</v>
      </c>
    </row>
    <row r="606" spans="1:18" ht="15.75" customHeight="1" x14ac:dyDescent="0.4">
      <c r="A606" s="1" t="s">
        <v>1224</v>
      </c>
      <c r="B606" s="2">
        <v>45571</v>
      </c>
      <c r="C606" s="2">
        <v>45580</v>
      </c>
      <c r="D606" s="2" t="str">
        <f t="shared" si="57"/>
        <v>2024</v>
      </c>
      <c r="E606" s="2" t="str">
        <f t="shared" si="54"/>
        <v>October</v>
      </c>
      <c r="F606" s="2" t="str">
        <f t="shared" si="58"/>
        <v>Q4</v>
      </c>
      <c r="G606" s="13">
        <f t="shared" si="55"/>
        <v>9</v>
      </c>
      <c r="H606" s="12" t="s">
        <v>1986</v>
      </c>
      <c r="I606" s="1" t="s">
        <v>24</v>
      </c>
      <c r="J606" s="1" t="s">
        <v>14</v>
      </c>
      <c r="K606" s="1" t="s">
        <v>15</v>
      </c>
      <c r="L606" s="1" t="s">
        <v>139</v>
      </c>
      <c r="M606" s="10">
        <v>257.76</v>
      </c>
      <c r="N606" s="8">
        <v>9</v>
      </c>
      <c r="O606" s="6">
        <v>0.44</v>
      </c>
      <c r="P606" s="10">
        <v>115.86</v>
      </c>
      <c r="Q606" s="11">
        <f t="shared" si="56"/>
        <v>141.89999999999998</v>
      </c>
      <c r="R606" t="str">
        <f t="shared" si="59"/>
        <v>profit</v>
      </c>
    </row>
    <row r="607" spans="1:18" ht="15.75" customHeight="1" x14ac:dyDescent="0.4">
      <c r="A607" s="1" t="s">
        <v>1225</v>
      </c>
      <c r="B607" s="2">
        <v>45552</v>
      </c>
      <c r="C607" s="2">
        <v>45559</v>
      </c>
      <c r="D607" s="2" t="str">
        <f t="shared" si="57"/>
        <v>2024</v>
      </c>
      <c r="E607" s="2" t="str">
        <f t="shared" si="54"/>
        <v>September</v>
      </c>
      <c r="F607" s="2" t="str">
        <f t="shared" si="58"/>
        <v>Q4</v>
      </c>
      <c r="G607" s="13">
        <f t="shared" si="55"/>
        <v>7</v>
      </c>
      <c r="H607" s="12" t="s">
        <v>23</v>
      </c>
      <c r="I607" s="1" t="s">
        <v>50</v>
      </c>
      <c r="J607" s="1" t="s">
        <v>25</v>
      </c>
      <c r="K607" s="1" t="s">
        <v>26</v>
      </c>
      <c r="L607" s="1" t="s">
        <v>1226</v>
      </c>
      <c r="M607" s="10">
        <v>663.54</v>
      </c>
      <c r="N607" s="8">
        <v>5</v>
      </c>
      <c r="O607" s="6">
        <v>0.3</v>
      </c>
      <c r="P607" s="10">
        <v>454.03</v>
      </c>
      <c r="Q607" s="11">
        <f t="shared" si="56"/>
        <v>209.51</v>
      </c>
      <c r="R607" t="str">
        <f t="shared" si="59"/>
        <v>profit</v>
      </c>
    </row>
    <row r="608" spans="1:18" ht="15.75" customHeight="1" x14ac:dyDescent="0.4">
      <c r="A608" s="1" t="s">
        <v>1227</v>
      </c>
      <c r="B608" s="2">
        <v>45451</v>
      </c>
      <c r="C608" s="2">
        <v>45453</v>
      </c>
      <c r="D608" s="2" t="str">
        <f t="shared" si="57"/>
        <v>2024</v>
      </c>
      <c r="E608" s="2" t="str">
        <f t="shared" si="54"/>
        <v>June</v>
      </c>
      <c r="F608" s="2" t="str">
        <f t="shared" si="58"/>
        <v>Q3</v>
      </c>
      <c r="G608" s="13">
        <f t="shared" si="55"/>
        <v>2</v>
      </c>
      <c r="H608" s="12" t="s">
        <v>23</v>
      </c>
      <c r="I608" s="1" t="s">
        <v>24</v>
      </c>
      <c r="J608" s="1" t="s">
        <v>14</v>
      </c>
      <c r="K608" s="1" t="s">
        <v>54</v>
      </c>
      <c r="L608" s="1" t="s">
        <v>1228</v>
      </c>
      <c r="M608" s="10">
        <v>639.25</v>
      </c>
      <c r="N608" s="8">
        <v>5</v>
      </c>
      <c r="O608" s="6">
        <v>0.03</v>
      </c>
      <c r="P608" s="10">
        <v>571.29</v>
      </c>
      <c r="Q608" s="11">
        <f t="shared" si="56"/>
        <v>67.960000000000036</v>
      </c>
      <c r="R608" t="str">
        <f t="shared" si="59"/>
        <v>profit</v>
      </c>
    </row>
    <row r="609" spans="1:18" ht="15.75" customHeight="1" x14ac:dyDescent="0.4">
      <c r="A609" s="1" t="s">
        <v>1229</v>
      </c>
      <c r="B609" s="2">
        <v>45073</v>
      </c>
      <c r="C609" s="2">
        <v>45081</v>
      </c>
      <c r="D609" s="2" t="str">
        <f t="shared" si="57"/>
        <v>2023</v>
      </c>
      <c r="E609" s="2" t="str">
        <f t="shared" si="54"/>
        <v>June</v>
      </c>
      <c r="F609" s="2" t="str">
        <f t="shared" si="58"/>
        <v>Q3</v>
      </c>
      <c r="G609" s="13">
        <f t="shared" si="55"/>
        <v>8</v>
      </c>
      <c r="H609" s="12" t="s">
        <v>1986</v>
      </c>
      <c r="I609" s="1" t="s">
        <v>50</v>
      </c>
      <c r="J609" s="1" t="s">
        <v>14</v>
      </c>
      <c r="K609" s="1" t="s">
        <v>15</v>
      </c>
      <c r="L609" s="1" t="s">
        <v>1230</v>
      </c>
      <c r="M609" s="10">
        <v>853.58</v>
      </c>
      <c r="N609" s="8">
        <v>5</v>
      </c>
      <c r="O609" s="6">
        <v>0.25</v>
      </c>
      <c r="P609" s="10">
        <v>598.34</v>
      </c>
      <c r="Q609" s="11">
        <f t="shared" si="56"/>
        <v>255.24</v>
      </c>
      <c r="R609" t="str">
        <f t="shared" si="59"/>
        <v>profit</v>
      </c>
    </row>
    <row r="610" spans="1:18" ht="15.75" customHeight="1" x14ac:dyDescent="0.4">
      <c r="A610" s="1" t="s">
        <v>1231</v>
      </c>
      <c r="B610" s="2">
        <v>45412</v>
      </c>
      <c r="C610" s="2">
        <v>45417</v>
      </c>
      <c r="D610" s="2" t="str">
        <f t="shared" si="57"/>
        <v>2024</v>
      </c>
      <c r="E610" s="2" t="str">
        <f t="shared" si="54"/>
        <v>May</v>
      </c>
      <c r="F610" s="2" t="str">
        <f t="shared" si="58"/>
        <v>Q2</v>
      </c>
      <c r="G610" s="13">
        <f t="shared" si="55"/>
        <v>5</v>
      </c>
      <c r="H610" s="12" t="s">
        <v>1987</v>
      </c>
      <c r="I610" s="1" t="s">
        <v>50</v>
      </c>
      <c r="J610" s="1" t="s">
        <v>19</v>
      </c>
      <c r="K610" s="1" t="s">
        <v>92</v>
      </c>
      <c r="L610" s="1" t="s">
        <v>1031</v>
      </c>
      <c r="M610" s="10">
        <v>340.18</v>
      </c>
      <c r="N610" s="8">
        <v>1</v>
      </c>
      <c r="O610" s="6">
        <v>7.0000000000000007E-2</v>
      </c>
      <c r="P610" s="10">
        <v>272.68</v>
      </c>
      <c r="Q610" s="11">
        <f t="shared" si="56"/>
        <v>67.5</v>
      </c>
      <c r="R610" t="str">
        <f t="shared" si="59"/>
        <v>profit</v>
      </c>
    </row>
    <row r="611" spans="1:18" ht="15.75" customHeight="1" x14ac:dyDescent="0.4">
      <c r="A611" s="1" t="s">
        <v>1232</v>
      </c>
      <c r="B611" s="2">
        <v>44915</v>
      </c>
      <c r="C611" s="2">
        <v>44915</v>
      </c>
      <c r="D611" s="2" t="str">
        <f t="shared" si="57"/>
        <v>2022</v>
      </c>
      <c r="E611" s="2" t="str">
        <f t="shared" si="54"/>
        <v>December</v>
      </c>
      <c r="F611" s="2" t="str">
        <f t="shared" si="58"/>
        <v>Q4</v>
      </c>
      <c r="G611" s="13">
        <f t="shared" si="55"/>
        <v>0</v>
      </c>
      <c r="H611" s="12" t="s">
        <v>23</v>
      </c>
      <c r="I611" s="1" t="s">
        <v>46</v>
      </c>
      <c r="J611" s="1" t="s">
        <v>25</v>
      </c>
      <c r="K611" s="1" t="s">
        <v>47</v>
      </c>
      <c r="L611" s="1" t="s">
        <v>1233</v>
      </c>
      <c r="M611" s="10">
        <v>312.58</v>
      </c>
      <c r="N611" s="8">
        <v>3</v>
      </c>
      <c r="O611" s="6">
        <v>0.39</v>
      </c>
      <c r="P611" s="10">
        <v>167.97</v>
      </c>
      <c r="Q611" s="11">
        <f t="shared" si="56"/>
        <v>144.60999999999999</v>
      </c>
      <c r="R611" t="str">
        <f t="shared" si="59"/>
        <v>profit</v>
      </c>
    </row>
    <row r="612" spans="1:18" ht="15.75" customHeight="1" x14ac:dyDescent="0.4">
      <c r="A612" s="1" t="s">
        <v>1234</v>
      </c>
      <c r="B612" s="2">
        <v>45449</v>
      </c>
      <c r="C612" s="2">
        <v>45456</v>
      </c>
      <c r="D612" s="2" t="str">
        <f t="shared" si="57"/>
        <v>2024</v>
      </c>
      <c r="E612" s="2" t="str">
        <f t="shared" si="54"/>
        <v>June</v>
      </c>
      <c r="F612" s="2" t="str">
        <f t="shared" si="58"/>
        <v>Q3</v>
      </c>
      <c r="G612" s="13">
        <f t="shared" si="55"/>
        <v>7</v>
      </c>
      <c r="H612" s="12" t="s">
        <v>1987</v>
      </c>
      <c r="I612" s="1" t="s">
        <v>24</v>
      </c>
      <c r="J612" s="1" t="s">
        <v>14</v>
      </c>
      <c r="K612" s="1" t="s">
        <v>30</v>
      </c>
      <c r="L612" s="1" t="s">
        <v>1235</v>
      </c>
      <c r="M612" s="10">
        <v>957.4</v>
      </c>
      <c r="N612" s="8">
        <v>2</v>
      </c>
      <c r="O612" s="6">
        <v>0.15</v>
      </c>
      <c r="P612" s="10">
        <v>793.11</v>
      </c>
      <c r="Q612" s="11">
        <f t="shared" si="56"/>
        <v>164.28999999999996</v>
      </c>
      <c r="R612" t="str">
        <f t="shared" si="59"/>
        <v>profit</v>
      </c>
    </row>
    <row r="613" spans="1:18" ht="15.75" customHeight="1" x14ac:dyDescent="0.4">
      <c r="A613" s="1" t="s">
        <v>1236</v>
      </c>
      <c r="B613" s="2">
        <v>44919</v>
      </c>
      <c r="C613" s="2">
        <v>44920</v>
      </c>
      <c r="D613" s="2" t="str">
        <f t="shared" si="57"/>
        <v>2022</v>
      </c>
      <c r="E613" s="2" t="str">
        <f t="shared" si="54"/>
        <v>December</v>
      </c>
      <c r="F613" s="2" t="str">
        <f t="shared" si="58"/>
        <v>Q4</v>
      </c>
      <c r="G613" s="13">
        <f t="shared" si="55"/>
        <v>1</v>
      </c>
      <c r="H613" s="12" t="s">
        <v>42</v>
      </c>
      <c r="I613" s="1" t="s">
        <v>59</v>
      </c>
      <c r="J613" s="1" t="s">
        <v>19</v>
      </c>
      <c r="K613" s="1" t="s">
        <v>92</v>
      </c>
      <c r="L613" s="1" t="s">
        <v>1237</v>
      </c>
      <c r="M613" s="10">
        <v>744.83</v>
      </c>
      <c r="N613" s="8">
        <v>10</v>
      </c>
      <c r="O613" s="6">
        <v>0.16</v>
      </c>
      <c r="P613" s="10">
        <v>605.95000000000005</v>
      </c>
      <c r="Q613" s="11">
        <f t="shared" si="56"/>
        <v>138.88</v>
      </c>
      <c r="R613" t="str">
        <f t="shared" si="59"/>
        <v>profit</v>
      </c>
    </row>
    <row r="614" spans="1:18" ht="15.75" customHeight="1" x14ac:dyDescent="0.4">
      <c r="A614" s="1" t="s">
        <v>1238</v>
      </c>
      <c r="B614" s="2">
        <v>45124</v>
      </c>
      <c r="C614" s="2">
        <v>45130</v>
      </c>
      <c r="D614" s="2" t="str">
        <f t="shared" si="57"/>
        <v>2023</v>
      </c>
      <c r="E614" s="2" t="str">
        <f t="shared" si="54"/>
        <v>July</v>
      </c>
      <c r="F614" s="2" t="str">
        <f t="shared" si="58"/>
        <v>Q3</v>
      </c>
      <c r="G614" s="13">
        <f t="shared" si="55"/>
        <v>6</v>
      </c>
      <c r="H614" s="12" t="s">
        <v>23</v>
      </c>
      <c r="I614" s="1" t="s">
        <v>29</v>
      </c>
      <c r="J614" s="1" t="s">
        <v>19</v>
      </c>
      <c r="K614" s="1" t="s">
        <v>35</v>
      </c>
      <c r="L614" s="1" t="s">
        <v>1239</v>
      </c>
      <c r="M614" s="10">
        <v>966.25</v>
      </c>
      <c r="N614" s="8">
        <v>9</v>
      </c>
      <c r="O614" s="6">
        <v>0.17</v>
      </c>
      <c r="P614" s="10">
        <v>776.65</v>
      </c>
      <c r="Q614" s="11">
        <f t="shared" si="56"/>
        <v>189.60000000000002</v>
      </c>
      <c r="R614" t="str">
        <f t="shared" si="59"/>
        <v>profit</v>
      </c>
    </row>
    <row r="615" spans="1:18" ht="15.75" customHeight="1" x14ac:dyDescent="0.4">
      <c r="A615" s="1" t="s">
        <v>1240</v>
      </c>
      <c r="B615" s="2">
        <v>45274</v>
      </c>
      <c r="C615" s="2">
        <v>45274</v>
      </c>
      <c r="D615" s="2" t="str">
        <f t="shared" si="57"/>
        <v>2023</v>
      </c>
      <c r="E615" s="2" t="str">
        <f t="shared" si="54"/>
        <v>December</v>
      </c>
      <c r="F615" s="2" t="str">
        <f t="shared" si="58"/>
        <v>Q4</v>
      </c>
      <c r="G615" s="13">
        <f t="shared" si="55"/>
        <v>0</v>
      </c>
      <c r="H615" s="12" t="s">
        <v>42</v>
      </c>
      <c r="I615" s="1" t="s">
        <v>59</v>
      </c>
      <c r="J615" s="1" t="s">
        <v>25</v>
      </c>
      <c r="K615" s="1" t="s">
        <v>47</v>
      </c>
      <c r="L615" s="1" t="s">
        <v>1241</v>
      </c>
      <c r="M615" s="10">
        <v>273.04000000000002</v>
      </c>
      <c r="N615" s="8">
        <v>10</v>
      </c>
      <c r="O615" s="6">
        <v>0.03</v>
      </c>
      <c r="P615" s="10">
        <v>247.36</v>
      </c>
      <c r="Q615" s="11">
        <f t="shared" si="56"/>
        <v>25.680000000000007</v>
      </c>
      <c r="R615" t="str">
        <f t="shared" si="59"/>
        <v>profit</v>
      </c>
    </row>
    <row r="616" spans="1:18" ht="15.75" customHeight="1" x14ac:dyDescent="0.4">
      <c r="A616" s="1" t="s">
        <v>1242</v>
      </c>
      <c r="B616" s="2">
        <v>45426</v>
      </c>
      <c r="C616" s="2">
        <v>45429</v>
      </c>
      <c r="D616" s="2" t="str">
        <f t="shared" si="57"/>
        <v>2024</v>
      </c>
      <c r="E616" s="2" t="str">
        <f t="shared" si="54"/>
        <v>May</v>
      </c>
      <c r="F616" s="2" t="str">
        <f t="shared" si="58"/>
        <v>Q2</v>
      </c>
      <c r="G616" s="13">
        <f t="shared" si="55"/>
        <v>3</v>
      </c>
      <c r="H616" s="12" t="s">
        <v>23</v>
      </c>
      <c r="I616" s="1" t="s">
        <v>53</v>
      </c>
      <c r="J616" s="1" t="s">
        <v>14</v>
      </c>
      <c r="K616" s="1" t="s">
        <v>15</v>
      </c>
      <c r="L616" s="1" t="s">
        <v>1243</v>
      </c>
      <c r="M616" s="10">
        <v>301.36</v>
      </c>
      <c r="N616" s="8">
        <v>6</v>
      </c>
      <c r="O616" s="6">
        <v>0.06</v>
      </c>
      <c r="P616" s="10">
        <v>241.16</v>
      </c>
      <c r="Q616" s="11">
        <f t="shared" si="56"/>
        <v>60.200000000000017</v>
      </c>
      <c r="R616" t="str">
        <f t="shared" si="59"/>
        <v>profit</v>
      </c>
    </row>
    <row r="617" spans="1:18" ht="15.75" customHeight="1" x14ac:dyDescent="0.4">
      <c r="A617" s="1" t="s">
        <v>1244</v>
      </c>
      <c r="B617" s="2">
        <v>45595</v>
      </c>
      <c r="C617" s="2">
        <v>45601</v>
      </c>
      <c r="D617" s="2" t="str">
        <f t="shared" si="57"/>
        <v>2024</v>
      </c>
      <c r="E617" s="2" t="str">
        <f t="shared" si="54"/>
        <v>November</v>
      </c>
      <c r="F617" s="2" t="str">
        <f t="shared" si="58"/>
        <v>Q4</v>
      </c>
      <c r="G617" s="13">
        <f t="shared" si="55"/>
        <v>6</v>
      </c>
      <c r="H617" s="12" t="s">
        <v>1986</v>
      </c>
      <c r="I617" s="1" t="s">
        <v>53</v>
      </c>
      <c r="J617" s="1" t="s">
        <v>14</v>
      </c>
      <c r="K617" s="1" t="s">
        <v>30</v>
      </c>
      <c r="L617" s="1" t="s">
        <v>1245</v>
      </c>
      <c r="M617" s="10">
        <v>896.81</v>
      </c>
      <c r="N617" s="8">
        <v>7</v>
      </c>
      <c r="O617" s="6">
        <v>0.38</v>
      </c>
      <c r="P617" s="10">
        <v>506.61</v>
      </c>
      <c r="Q617" s="11">
        <f t="shared" si="56"/>
        <v>390.19999999999993</v>
      </c>
      <c r="R617" t="str">
        <f t="shared" si="59"/>
        <v>profit</v>
      </c>
    </row>
    <row r="618" spans="1:18" ht="15.75" customHeight="1" x14ac:dyDescent="0.4">
      <c r="A618" s="1" t="s">
        <v>1246</v>
      </c>
      <c r="B618" s="2">
        <v>45462</v>
      </c>
      <c r="C618" s="2">
        <v>45470</v>
      </c>
      <c r="D618" s="2" t="str">
        <f t="shared" si="57"/>
        <v>2024</v>
      </c>
      <c r="E618" s="2" t="str">
        <f t="shared" si="54"/>
        <v>June</v>
      </c>
      <c r="F618" s="2" t="str">
        <f t="shared" si="58"/>
        <v>Q3</v>
      </c>
      <c r="G618" s="13">
        <f t="shared" si="55"/>
        <v>8</v>
      </c>
      <c r="H618" s="12" t="s">
        <v>1987</v>
      </c>
      <c r="I618" s="1" t="s">
        <v>18</v>
      </c>
      <c r="J618" s="1" t="s">
        <v>14</v>
      </c>
      <c r="K618" s="1" t="s">
        <v>30</v>
      </c>
      <c r="L618" s="1" t="s">
        <v>1247</v>
      </c>
      <c r="M618" s="10">
        <v>71.34</v>
      </c>
      <c r="N618" s="8">
        <v>10</v>
      </c>
      <c r="O618" s="6">
        <v>0.16</v>
      </c>
      <c r="P618" s="10">
        <v>48.26</v>
      </c>
      <c r="Q618" s="11">
        <f t="shared" si="56"/>
        <v>23.080000000000005</v>
      </c>
      <c r="R618" t="str">
        <f t="shared" si="59"/>
        <v>profit</v>
      </c>
    </row>
    <row r="619" spans="1:18" ht="15.75" customHeight="1" x14ac:dyDescent="0.4">
      <c r="A619" s="1" t="s">
        <v>1248</v>
      </c>
      <c r="C619" s="2">
        <v>45231</v>
      </c>
      <c r="D619" s="2" t="str">
        <f t="shared" si="57"/>
        <v/>
      </c>
      <c r="E619" s="2" t="str">
        <f t="shared" si="54"/>
        <v>November</v>
      </c>
      <c r="F619" s="2" t="str">
        <f t="shared" si="58"/>
        <v>Q4</v>
      </c>
      <c r="G619" s="13">
        <f t="shared" si="55"/>
        <v>45231</v>
      </c>
      <c r="H619" s="12" t="s">
        <v>1988</v>
      </c>
      <c r="I619" s="1" t="s">
        <v>24</v>
      </c>
      <c r="J619" s="1" t="s">
        <v>19</v>
      </c>
      <c r="K619" s="1" t="s">
        <v>92</v>
      </c>
      <c r="L619" s="1" t="s">
        <v>1249</v>
      </c>
      <c r="M619" s="11" t="s">
        <v>1989</v>
      </c>
      <c r="N619" s="8">
        <v>10</v>
      </c>
      <c r="O619" s="6">
        <v>0.41</v>
      </c>
      <c r="P619" s="10">
        <v>115.17</v>
      </c>
      <c r="Q619" s="11" t="e">
        <f t="shared" si="56"/>
        <v>#VALUE!</v>
      </c>
      <c r="R619" t="str">
        <f t="shared" si="59"/>
        <v>profit</v>
      </c>
    </row>
    <row r="620" spans="1:18" ht="15.75" customHeight="1" x14ac:dyDescent="0.4">
      <c r="A620" s="1" t="s">
        <v>1250</v>
      </c>
      <c r="B620" s="2">
        <v>45347</v>
      </c>
      <c r="C620" s="2">
        <v>45355</v>
      </c>
      <c r="D620" s="2" t="str">
        <f t="shared" si="57"/>
        <v>2024</v>
      </c>
      <c r="E620" s="2" t="str">
        <f t="shared" si="54"/>
        <v>March</v>
      </c>
      <c r="F620" s="2" t="str">
        <f t="shared" si="58"/>
        <v>Q2</v>
      </c>
      <c r="G620" s="13">
        <f t="shared" si="55"/>
        <v>8</v>
      </c>
      <c r="H620" s="12" t="s">
        <v>23</v>
      </c>
      <c r="I620" s="1" t="s">
        <v>13</v>
      </c>
      <c r="J620" s="1" t="s">
        <v>25</v>
      </c>
      <c r="K620" s="1" t="s">
        <v>26</v>
      </c>
      <c r="L620" s="1" t="s">
        <v>1251</v>
      </c>
      <c r="M620" s="10">
        <v>562.59</v>
      </c>
      <c r="N620" s="8">
        <v>5</v>
      </c>
      <c r="O620" s="6">
        <v>0.12</v>
      </c>
      <c r="P620" s="10">
        <v>468.14</v>
      </c>
      <c r="Q620" s="11">
        <f t="shared" si="56"/>
        <v>94.450000000000045</v>
      </c>
      <c r="R620" t="str">
        <f t="shared" si="59"/>
        <v>profit</v>
      </c>
    </row>
    <row r="621" spans="1:18" ht="15.75" customHeight="1" x14ac:dyDescent="0.4">
      <c r="A621" s="1" t="s">
        <v>1252</v>
      </c>
      <c r="B621" s="2">
        <v>45252</v>
      </c>
      <c r="C621" s="2">
        <v>45254</v>
      </c>
      <c r="D621" s="2" t="str">
        <f t="shared" si="57"/>
        <v>2023</v>
      </c>
      <c r="E621" s="2" t="str">
        <f t="shared" si="54"/>
        <v>November</v>
      </c>
      <c r="F621" s="2" t="str">
        <f t="shared" si="58"/>
        <v>Q4</v>
      </c>
      <c r="G621" s="13">
        <f t="shared" si="55"/>
        <v>2</v>
      </c>
      <c r="H621" s="12" t="s">
        <v>1987</v>
      </c>
      <c r="I621" s="1" t="s">
        <v>59</v>
      </c>
      <c r="J621" s="1" t="s">
        <v>19</v>
      </c>
      <c r="K621" s="1" t="s">
        <v>20</v>
      </c>
      <c r="L621" s="1" t="s">
        <v>1253</v>
      </c>
      <c r="M621" s="10">
        <v>269.43</v>
      </c>
      <c r="N621" s="8">
        <v>10</v>
      </c>
      <c r="O621" s="6">
        <v>0.44</v>
      </c>
      <c r="P621" s="10">
        <v>133.57</v>
      </c>
      <c r="Q621" s="11">
        <f t="shared" si="56"/>
        <v>135.86000000000001</v>
      </c>
      <c r="R621" t="str">
        <f t="shared" si="59"/>
        <v>profit</v>
      </c>
    </row>
    <row r="622" spans="1:18" ht="15.75" customHeight="1" x14ac:dyDescent="0.4">
      <c r="A622" s="1" t="s">
        <v>1254</v>
      </c>
      <c r="B622" s="2">
        <v>45514</v>
      </c>
      <c r="C622" s="2">
        <v>45519</v>
      </c>
      <c r="D622" s="2" t="str">
        <f t="shared" si="57"/>
        <v>2024</v>
      </c>
      <c r="E622" s="2" t="str">
        <f t="shared" si="54"/>
        <v>August</v>
      </c>
      <c r="F622" s="2" t="str">
        <f t="shared" si="58"/>
        <v>Q3</v>
      </c>
      <c r="G622" s="13">
        <f t="shared" si="55"/>
        <v>5</v>
      </c>
      <c r="H622" s="12" t="s">
        <v>23</v>
      </c>
      <c r="I622" s="1" t="s">
        <v>53</v>
      </c>
      <c r="J622" s="1" t="s">
        <v>14</v>
      </c>
      <c r="K622" s="1" t="s">
        <v>15</v>
      </c>
      <c r="L622" s="1" t="s">
        <v>1255</v>
      </c>
      <c r="M622" s="10">
        <v>458.74</v>
      </c>
      <c r="N622" s="8">
        <v>7</v>
      </c>
      <c r="O622" s="6">
        <v>0.15</v>
      </c>
      <c r="P622" s="10">
        <v>366.43</v>
      </c>
      <c r="Q622" s="11">
        <f t="shared" si="56"/>
        <v>92.31</v>
      </c>
      <c r="R622" t="str">
        <f t="shared" si="59"/>
        <v>profit</v>
      </c>
    </row>
    <row r="623" spans="1:18" ht="15.75" customHeight="1" x14ac:dyDescent="0.4">
      <c r="A623" s="1" t="s">
        <v>1256</v>
      </c>
      <c r="B623" s="2">
        <v>45534</v>
      </c>
      <c r="C623" s="2">
        <v>45542</v>
      </c>
      <c r="D623" s="2" t="str">
        <f t="shared" si="57"/>
        <v>2024</v>
      </c>
      <c r="E623" s="2" t="str">
        <f t="shared" si="54"/>
        <v>September</v>
      </c>
      <c r="F623" s="2" t="str">
        <f t="shared" si="58"/>
        <v>Q4</v>
      </c>
      <c r="G623" s="13">
        <f t="shared" si="55"/>
        <v>8</v>
      </c>
      <c r="H623" s="12" t="s">
        <v>42</v>
      </c>
      <c r="I623" s="1" t="s">
        <v>24</v>
      </c>
      <c r="J623" s="1" t="s">
        <v>14</v>
      </c>
      <c r="K623" s="1" t="s">
        <v>54</v>
      </c>
      <c r="L623" s="1" t="s">
        <v>1257</v>
      </c>
      <c r="M623" s="10">
        <v>848.53</v>
      </c>
      <c r="N623" s="8">
        <v>4</v>
      </c>
      <c r="O623" s="6">
        <v>0.24</v>
      </c>
      <c r="P623" s="10">
        <v>605.52</v>
      </c>
      <c r="Q623" s="11">
        <f t="shared" si="56"/>
        <v>243.01</v>
      </c>
      <c r="R623" t="str">
        <f t="shared" si="59"/>
        <v>profit</v>
      </c>
    </row>
    <row r="624" spans="1:18" ht="15.75" customHeight="1" x14ac:dyDescent="0.4">
      <c r="A624" s="1" t="s">
        <v>1260</v>
      </c>
      <c r="B624" s="2">
        <v>45604</v>
      </c>
      <c r="C624" s="2">
        <v>45611</v>
      </c>
      <c r="D624" s="2" t="str">
        <f t="shared" si="57"/>
        <v>2024</v>
      </c>
      <c r="E624" s="2" t="str">
        <f t="shared" si="54"/>
        <v>November</v>
      </c>
      <c r="F624" s="2" t="str">
        <f t="shared" si="58"/>
        <v>Q4</v>
      </c>
      <c r="G624" s="13">
        <f t="shared" si="55"/>
        <v>7</v>
      </c>
      <c r="H624" s="12" t="s">
        <v>1987</v>
      </c>
      <c r="I624" s="1" t="s">
        <v>50</v>
      </c>
      <c r="J624" s="1" t="s">
        <v>14</v>
      </c>
      <c r="K624" s="1" t="s">
        <v>15</v>
      </c>
      <c r="L624" s="1" t="s">
        <v>1053</v>
      </c>
      <c r="M624" s="10">
        <v>734.73</v>
      </c>
      <c r="N624" s="8">
        <v>3</v>
      </c>
      <c r="O624" s="6">
        <v>0.24</v>
      </c>
      <c r="P624" s="10">
        <v>524.63</v>
      </c>
      <c r="Q624" s="11">
        <f t="shared" si="56"/>
        <v>210.10000000000002</v>
      </c>
      <c r="R624" t="str">
        <f t="shared" si="59"/>
        <v>profit</v>
      </c>
    </row>
    <row r="625" spans="1:18" ht="15.75" customHeight="1" x14ac:dyDescent="0.4">
      <c r="A625" s="1" t="s">
        <v>1261</v>
      </c>
      <c r="B625" s="2">
        <v>45550</v>
      </c>
      <c r="C625" s="2">
        <v>45556</v>
      </c>
      <c r="D625" s="2" t="str">
        <f t="shared" si="57"/>
        <v>2024</v>
      </c>
      <c r="E625" s="2" t="str">
        <f t="shared" si="54"/>
        <v>September</v>
      </c>
      <c r="F625" s="2" t="str">
        <f t="shared" si="58"/>
        <v>Q4</v>
      </c>
      <c r="G625" s="13">
        <f t="shared" si="55"/>
        <v>6</v>
      </c>
      <c r="H625" s="12" t="s">
        <v>23</v>
      </c>
      <c r="I625" s="1" t="s">
        <v>53</v>
      </c>
      <c r="J625" s="1" t="s">
        <v>25</v>
      </c>
      <c r="K625" s="1" t="s">
        <v>47</v>
      </c>
      <c r="L625" s="1" t="s">
        <v>1262</v>
      </c>
      <c r="M625" s="10">
        <v>480.63</v>
      </c>
      <c r="N625" s="8">
        <v>6</v>
      </c>
      <c r="O625" s="6">
        <v>0.11</v>
      </c>
      <c r="P625" s="10">
        <v>380.45</v>
      </c>
      <c r="Q625" s="11">
        <f t="shared" si="56"/>
        <v>100.18</v>
      </c>
      <c r="R625" t="str">
        <f t="shared" si="59"/>
        <v>profit</v>
      </c>
    </row>
    <row r="626" spans="1:18" s="14" customFormat="1" ht="15.75" customHeight="1" x14ac:dyDescent="0.4">
      <c r="A626" s="15" t="s">
        <v>1263</v>
      </c>
      <c r="B626" s="16">
        <v>45321</v>
      </c>
      <c r="C626" s="17">
        <v>45398</v>
      </c>
      <c r="D626" s="2" t="str">
        <f t="shared" si="57"/>
        <v>2024</v>
      </c>
      <c r="E626" s="17" t="str">
        <f t="shared" si="54"/>
        <v>April</v>
      </c>
      <c r="F626" s="17" t="str">
        <f t="shared" si="58"/>
        <v>Q2</v>
      </c>
      <c r="G626" s="18">
        <f t="shared" si="55"/>
        <v>77</v>
      </c>
      <c r="H626" s="19" t="s">
        <v>1986</v>
      </c>
      <c r="I626" s="15" t="s">
        <v>46</v>
      </c>
      <c r="J626" s="15" t="s">
        <v>25</v>
      </c>
      <c r="K626" s="15" t="s">
        <v>26</v>
      </c>
      <c r="L626" s="15" t="s">
        <v>1264</v>
      </c>
      <c r="M626" s="20">
        <v>248.2</v>
      </c>
      <c r="N626" s="21">
        <v>6</v>
      </c>
      <c r="O626" s="22">
        <v>0.39</v>
      </c>
      <c r="P626" s="20">
        <v>103.22</v>
      </c>
      <c r="Q626" s="23">
        <f t="shared" si="56"/>
        <v>144.97999999999999</v>
      </c>
      <c r="R626" s="14" t="str">
        <f t="shared" si="59"/>
        <v>profit</v>
      </c>
    </row>
    <row r="627" spans="1:18" ht="15.75" customHeight="1" x14ac:dyDescent="0.4">
      <c r="A627" s="1" t="s">
        <v>1265</v>
      </c>
      <c r="B627" s="2">
        <v>45185</v>
      </c>
      <c r="C627" s="2">
        <v>45194</v>
      </c>
      <c r="D627" s="2" t="str">
        <f t="shared" si="57"/>
        <v>2023</v>
      </c>
      <c r="E627" s="2" t="str">
        <f t="shared" si="54"/>
        <v>September</v>
      </c>
      <c r="F627" s="2" t="str">
        <f t="shared" si="58"/>
        <v>Q4</v>
      </c>
      <c r="G627" s="13">
        <f t="shared" si="55"/>
        <v>9</v>
      </c>
      <c r="H627" s="12" t="s">
        <v>42</v>
      </c>
      <c r="I627" s="1" t="s">
        <v>24</v>
      </c>
      <c r="J627" s="1" t="s">
        <v>25</v>
      </c>
      <c r="K627" s="1" t="s">
        <v>47</v>
      </c>
      <c r="L627" s="1" t="s">
        <v>1266</v>
      </c>
      <c r="M627" s="10">
        <v>109.29</v>
      </c>
      <c r="N627" s="8">
        <v>8</v>
      </c>
      <c r="O627" s="6">
        <v>0.4</v>
      </c>
      <c r="P627" s="10">
        <v>25.73</v>
      </c>
      <c r="Q627" s="11">
        <f t="shared" si="56"/>
        <v>83.56</v>
      </c>
      <c r="R627" t="str">
        <f t="shared" si="59"/>
        <v>profit</v>
      </c>
    </row>
    <row r="628" spans="1:18" ht="15.75" customHeight="1" x14ac:dyDescent="0.4">
      <c r="A628" s="1" t="s">
        <v>1267</v>
      </c>
      <c r="B628" s="2">
        <v>45319</v>
      </c>
      <c r="C628" s="2">
        <v>45325</v>
      </c>
      <c r="D628" s="2" t="str">
        <f t="shared" si="57"/>
        <v>2024</v>
      </c>
      <c r="E628" s="2" t="str">
        <f t="shared" si="54"/>
        <v>February</v>
      </c>
      <c r="F628" s="2" t="str">
        <f t="shared" si="58"/>
        <v>Q1</v>
      </c>
      <c r="G628" s="13">
        <f t="shared" si="55"/>
        <v>6</v>
      </c>
      <c r="H628" s="12" t="s">
        <v>42</v>
      </c>
      <c r="I628" s="1" t="s">
        <v>18</v>
      </c>
      <c r="J628" s="1" t="s">
        <v>14</v>
      </c>
      <c r="K628" s="1" t="s">
        <v>30</v>
      </c>
      <c r="L628" s="1" t="s">
        <v>1268</v>
      </c>
      <c r="M628" s="10">
        <v>29.88</v>
      </c>
      <c r="N628" s="8">
        <v>7</v>
      </c>
      <c r="O628" s="6">
        <v>0.28999999999999998</v>
      </c>
      <c r="P628" s="10">
        <v>6.62</v>
      </c>
      <c r="Q628" s="11">
        <f t="shared" si="56"/>
        <v>23.259999999999998</v>
      </c>
      <c r="R628" t="str">
        <f t="shared" si="59"/>
        <v>profit</v>
      </c>
    </row>
    <row r="629" spans="1:18" ht="15.75" customHeight="1" x14ac:dyDescent="0.4">
      <c r="A629" s="1" t="s">
        <v>1269</v>
      </c>
      <c r="B629" s="2">
        <v>45515</v>
      </c>
      <c r="C629" s="2">
        <v>45524</v>
      </c>
      <c r="D629" s="2" t="str">
        <f t="shared" si="57"/>
        <v>2024</v>
      </c>
      <c r="E629" s="2" t="str">
        <f t="shared" si="54"/>
        <v>August</v>
      </c>
      <c r="F629" s="2" t="str">
        <f t="shared" si="58"/>
        <v>Q3</v>
      </c>
      <c r="G629" s="13">
        <f t="shared" si="55"/>
        <v>9</v>
      </c>
      <c r="H629" s="12" t="s">
        <v>1987</v>
      </c>
      <c r="I629" s="1" t="s">
        <v>53</v>
      </c>
      <c r="J629" s="1" t="s">
        <v>25</v>
      </c>
      <c r="K629" s="1" t="s">
        <v>47</v>
      </c>
      <c r="L629" s="1" t="s">
        <v>1270</v>
      </c>
      <c r="M629" s="10">
        <v>262.61</v>
      </c>
      <c r="N629" s="8">
        <v>5</v>
      </c>
      <c r="O629" s="6">
        <v>0.11</v>
      </c>
      <c r="P629" s="10">
        <v>213.25</v>
      </c>
      <c r="Q629" s="11">
        <f t="shared" si="56"/>
        <v>49.360000000000014</v>
      </c>
      <c r="R629" t="str">
        <f t="shared" si="59"/>
        <v>profit</v>
      </c>
    </row>
    <row r="630" spans="1:18" ht="15.75" customHeight="1" x14ac:dyDescent="0.4">
      <c r="A630" s="1" t="s">
        <v>1271</v>
      </c>
      <c r="B630" s="2">
        <v>45129</v>
      </c>
      <c r="C630" s="2">
        <v>45130</v>
      </c>
      <c r="D630" s="2" t="str">
        <f t="shared" si="57"/>
        <v>2023</v>
      </c>
      <c r="E630" s="2" t="str">
        <f t="shared" si="54"/>
        <v>July</v>
      </c>
      <c r="F630" s="2" t="str">
        <f t="shared" si="58"/>
        <v>Q3</v>
      </c>
      <c r="G630" s="13">
        <f t="shared" si="55"/>
        <v>1</v>
      </c>
      <c r="H630" s="12" t="s">
        <v>23</v>
      </c>
      <c r="I630" s="1" t="s">
        <v>50</v>
      </c>
      <c r="J630" s="1" t="s">
        <v>19</v>
      </c>
      <c r="K630" s="1" t="s">
        <v>35</v>
      </c>
      <c r="L630" s="1" t="s">
        <v>1272</v>
      </c>
      <c r="M630" s="10">
        <v>901.22</v>
      </c>
      <c r="N630" s="8">
        <v>10</v>
      </c>
      <c r="O630" s="6">
        <v>0.2</v>
      </c>
      <c r="P630" s="10">
        <v>683.84</v>
      </c>
      <c r="Q630" s="11">
        <f t="shared" si="56"/>
        <v>217.38</v>
      </c>
      <c r="R630" t="str">
        <f t="shared" si="59"/>
        <v>profit</v>
      </c>
    </row>
    <row r="631" spans="1:18" ht="15.75" customHeight="1" x14ac:dyDescent="0.4">
      <c r="A631" s="1" t="s">
        <v>1273</v>
      </c>
      <c r="B631" s="2">
        <v>45456</v>
      </c>
      <c r="C631" s="2">
        <v>45456</v>
      </c>
      <c r="D631" s="2" t="str">
        <f t="shared" si="57"/>
        <v>2024</v>
      </c>
      <c r="E631" s="2" t="str">
        <f t="shared" si="54"/>
        <v>June</v>
      </c>
      <c r="F631" s="2" t="str">
        <f t="shared" si="58"/>
        <v>Q3</v>
      </c>
      <c r="G631" s="13">
        <f t="shared" si="55"/>
        <v>0</v>
      </c>
      <c r="H631" s="12" t="s">
        <v>1987</v>
      </c>
      <c r="I631" s="1" t="s">
        <v>46</v>
      </c>
      <c r="J631" s="1" t="s">
        <v>25</v>
      </c>
      <c r="K631" s="1" t="s">
        <v>26</v>
      </c>
      <c r="L631" s="1" t="s">
        <v>1274</v>
      </c>
      <c r="M631" s="10">
        <v>229.13</v>
      </c>
      <c r="N631" s="8">
        <v>1</v>
      </c>
      <c r="O631" s="6">
        <v>0.32</v>
      </c>
      <c r="P631" s="10">
        <v>123.33</v>
      </c>
      <c r="Q631" s="11">
        <f t="shared" si="56"/>
        <v>105.8</v>
      </c>
      <c r="R631" t="str">
        <f t="shared" si="59"/>
        <v>profit</v>
      </c>
    </row>
    <row r="632" spans="1:18" ht="15.75" customHeight="1" x14ac:dyDescent="0.4">
      <c r="A632" s="1" t="s">
        <v>1275</v>
      </c>
      <c r="B632" s="2">
        <v>45609</v>
      </c>
      <c r="C632" s="2">
        <v>45612</v>
      </c>
      <c r="D632" s="2" t="str">
        <f t="shared" si="57"/>
        <v>2024</v>
      </c>
      <c r="E632" s="2" t="str">
        <f t="shared" si="54"/>
        <v>November</v>
      </c>
      <c r="F632" s="2" t="str">
        <f t="shared" si="58"/>
        <v>Q4</v>
      </c>
      <c r="G632" s="13">
        <f t="shared" si="55"/>
        <v>3</v>
      </c>
      <c r="H632" s="12" t="s">
        <v>23</v>
      </c>
      <c r="I632" s="1" t="s">
        <v>53</v>
      </c>
      <c r="J632" s="1" t="s">
        <v>14</v>
      </c>
      <c r="K632" s="1" t="s">
        <v>30</v>
      </c>
      <c r="L632" s="1" t="s">
        <v>1276</v>
      </c>
      <c r="M632" s="10">
        <v>269.3</v>
      </c>
      <c r="N632" s="8">
        <v>10</v>
      </c>
      <c r="O632" s="6">
        <v>0.11</v>
      </c>
      <c r="P632" s="10">
        <v>219</v>
      </c>
      <c r="Q632" s="11">
        <f t="shared" si="56"/>
        <v>50.300000000000011</v>
      </c>
      <c r="R632" t="str">
        <f t="shared" si="59"/>
        <v>profit</v>
      </c>
    </row>
    <row r="633" spans="1:18" ht="15.75" customHeight="1" x14ac:dyDescent="0.4">
      <c r="A633" s="1" t="s">
        <v>1277</v>
      </c>
      <c r="C633" s="2">
        <v>45443</v>
      </c>
      <c r="D633" s="2" t="str">
        <f t="shared" si="57"/>
        <v/>
      </c>
      <c r="E633" s="2" t="str">
        <f t="shared" si="54"/>
        <v>May</v>
      </c>
      <c r="F633" s="2" t="str">
        <f t="shared" si="58"/>
        <v>Q2</v>
      </c>
      <c r="G633" s="13">
        <f t="shared" si="55"/>
        <v>45443</v>
      </c>
      <c r="H633" s="12" t="s">
        <v>1988</v>
      </c>
      <c r="I633" s="1" t="s">
        <v>59</v>
      </c>
      <c r="J633" s="1" t="s">
        <v>14</v>
      </c>
      <c r="K633" s="1" t="s">
        <v>30</v>
      </c>
      <c r="L633" s="1" t="s">
        <v>1278</v>
      </c>
      <c r="M633" s="11" t="s">
        <v>1989</v>
      </c>
      <c r="N633" s="8">
        <v>8</v>
      </c>
      <c r="O633" s="6">
        <v>0.03</v>
      </c>
      <c r="P633" s="10">
        <v>603.54999999999995</v>
      </c>
      <c r="Q633" s="11" t="e">
        <f t="shared" si="56"/>
        <v>#VALUE!</v>
      </c>
      <c r="R633" t="str">
        <f t="shared" si="59"/>
        <v>profit</v>
      </c>
    </row>
    <row r="634" spans="1:18" ht="15.75" customHeight="1" x14ac:dyDescent="0.4">
      <c r="A634" s="1" t="s">
        <v>1279</v>
      </c>
      <c r="B634" s="2">
        <v>45564</v>
      </c>
      <c r="C634" s="2">
        <v>45573</v>
      </c>
      <c r="D634" s="2" t="str">
        <f t="shared" si="57"/>
        <v>2024</v>
      </c>
      <c r="E634" s="2" t="str">
        <f t="shared" si="54"/>
        <v>October</v>
      </c>
      <c r="F634" s="2" t="str">
        <f t="shared" si="58"/>
        <v>Q4</v>
      </c>
      <c r="G634" s="13">
        <f t="shared" si="55"/>
        <v>9</v>
      </c>
      <c r="H634" s="12" t="s">
        <v>1987</v>
      </c>
      <c r="I634" s="1" t="s">
        <v>59</v>
      </c>
      <c r="J634" s="1" t="s">
        <v>25</v>
      </c>
      <c r="K634" s="1" t="s">
        <v>47</v>
      </c>
      <c r="L634" s="1" t="s">
        <v>738</v>
      </c>
      <c r="M634" s="10">
        <v>253.23</v>
      </c>
      <c r="N634" s="8">
        <v>3</v>
      </c>
      <c r="O634" s="6">
        <v>0.32</v>
      </c>
      <c r="P634" s="10">
        <v>155.13</v>
      </c>
      <c r="Q634" s="11">
        <f t="shared" si="56"/>
        <v>98.1</v>
      </c>
      <c r="R634" t="str">
        <f t="shared" si="59"/>
        <v>profit</v>
      </c>
    </row>
    <row r="635" spans="1:18" ht="15.75" customHeight="1" x14ac:dyDescent="0.4">
      <c r="A635" s="1" t="s">
        <v>1280</v>
      </c>
      <c r="B635" s="2">
        <v>45424</v>
      </c>
      <c r="C635" s="2">
        <v>45427</v>
      </c>
      <c r="D635" s="2" t="str">
        <f t="shared" si="57"/>
        <v>2024</v>
      </c>
      <c r="E635" s="2" t="str">
        <f t="shared" si="54"/>
        <v>May</v>
      </c>
      <c r="F635" s="2" t="str">
        <f t="shared" si="58"/>
        <v>Q2</v>
      </c>
      <c r="G635" s="13">
        <f t="shared" si="55"/>
        <v>3</v>
      </c>
      <c r="H635" s="12" t="s">
        <v>1986</v>
      </c>
      <c r="I635" s="1" t="s">
        <v>18</v>
      </c>
      <c r="J635" s="1" t="s">
        <v>25</v>
      </c>
      <c r="K635" s="1" t="s">
        <v>43</v>
      </c>
      <c r="L635" s="1" t="s">
        <v>1001</v>
      </c>
      <c r="M635" s="10">
        <v>689.76</v>
      </c>
      <c r="N635" s="8">
        <v>8</v>
      </c>
      <c r="O635" s="6">
        <v>0.2</v>
      </c>
      <c r="P635" s="10">
        <v>506.28</v>
      </c>
      <c r="Q635" s="11">
        <f t="shared" si="56"/>
        <v>183.48000000000002</v>
      </c>
      <c r="R635" t="str">
        <f t="shared" si="59"/>
        <v>profit</v>
      </c>
    </row>
    <row r="636" spans="1:18" ht="15.75" customHeight="1" x14ac:dyDescent="0.4">
      <c r="A636" s="1" t="s">
        <v>1281</v>
      </c>
      <c r="B636" s="2">
        <v>45440</v>
      </c>
      <c r="C636" s="2">
        <v>45440</v>
      </c>
      <c r="D636" s="2" t="str">
        <f t="shared" si="57"/>
        <v>2024</v>
      </c>
      <c r="E636" s="2" t="str">
        <f t="shared" si="54"/>
        <v>May</v>
      </c>
      <c r="F636" s="2" t="str">
        <f t="shared" si="58"/>
        <v>Q2</v>
      </c>
      <c r="G636" s="13">
        <f t="shared" si="55"/>
        <v>0</v>
      </c>
      <c r="H636" s="12" t="s">
        <v>42</v>
      </c>
      <c r="I636" s="1" t="s">
        <v>13</v>
      </c>
      <c r="J636" s="1" t="s">
        <v>14</v>
      </c>
      <c r="K636" s="1" t="s">
        <v>30</v>
      </c>
      <c r="L636" s="1" t="s">
        <v>1282</v>
      </c>
      <c r="M636" s="10">
        <v>125.7</v>
      </c>
      <c r="N636" s="8">
        <v>2</v>
      </c>
      <c r="O636" s="6">
        <v>0.09</v>
      </c>
      <c r="P636" s="10">
        <v>92.68</v>
      </c>
      <c r="Q636" s="11">
        <f t="shared" si="56"/>
        <v>33.019999999999996</v>
      </c>
      <c r="R636" t="str">
        <f t="shared" si="59"/>
        <v>profit</v>
      </c>
    </row>
    <row r="637" spans="1:18" ht="15.75" customHeight="1" x14ac:dyDescent="0.4">
      <c r="A637" s="1" t="s">
        <v>1283</v>
      </c>
      <c r="B637" s="2">
        <v>45088</v>
      </c>
      <c r="C637" s="2">
        <v>45092</v>
      </c>
      <c r="D637" s="2" t="str">
        <f t="shared" si="57"/>
        <v>2023</v>
      </c>
      <c r="E637" s="2" t="str">
        <f t="shared" si="54"/>
        <v>June</v>
      </c>
      <c r="F637" s="2" t="str">
        <f t="shared" si="58"/>
        <v>Q3</v>
      </c>
      <c r="G637" s="13">
        <f t="shared" si="55"/>
        <v>4</v>
      </c>
      <c r="H637" s="12" t="s">
        <v>1986</v>
      </c>
      <c r="I637" s="1" t="s">
        <v>18</v>
      </c>
      <c r="J637" s="1" t="s">
        <v>19</v>
      </c>
      <c r="K637" s="1" t="s">
        <v>35</v>
      </c>
      <c r="L637" s="1" t="s">
        <v>1284</v>
      </c>
      <c r="M637" s="10">
        <v>411.34</v>
      </c>
      <c r="N637" s="8">
        <v>8</v>
      </c>
      <c r="O637" s="6">
        <v>0.06</v>
      </c>
      <c r="P637" s="10">
        <v>354.35</v>
      </c>
      <c r="Q637" s="11">
        <f t="shared" si="56"/>
        <v>56.989999999999952</v>
      </c>
      <c r="R637" t="str">
        <f t="shared" si="59"/>
        <v>profit</v>
      </c>
    </row>
    <row r="638" spans="1:18" ht="15.75" customHeight="1" x14ac:dyDescent="0.4">
      <c r="A638" s="1" t="s">
        <v>1285</v>
      </c>
      <c r="B638" s="2">
        <v>45608</v>
      </c>
      <c r="C638" s="2">
        <v>45610</v>
      </c>
      <c r="D638" s="2" t="str">
        <f t="shared" si="57"/>
        <v>2024</v>
      </c>
      <c r="E638" s="2" t="str">
        <f t="shared" si="54"/>
        <v>November</v>
      </c>
      <c r="F638" s="2" t="str">
        <f t="shared" si="58"/>
        <v>Q4</v>
      </c>
      <c r="G638" s="13">
        <f t="shared" si="55"/>
        <v>2</v>
      </c>
      <c r="H638" s="12" t="s">
        <v>23</v>
      </c>
      <c r="I638" s="1" t="s">
        <v>59</v>
      </c>
      <c r="J638" s="1" t="s">
        <v>19</v>
      </c>
      <c r="K638" s="1" t="s">
        <v>35</v>
      </c>
      <c r="L638" s="1" t="s">
        <v>1286</v>
      </c>
      <c r="M638" s="10">
        <v>882.16</v>
      </c>
      <c r="N638" s="8">
        <v>1</v>
      </c>
      <c r="O638" s="6">
        <v>0.14000000000000001</v>
      </c>
      <c r="P638" s="10">
        <v>742.75</v>
      </c>
      <c r="Q638" s="11">
        <f t="shared" si="56"/>
        <v>139.40999999999997</v>
      </c>
      <c r="R638" t="str">
        <f t="shared" si="59"/>
        <v>profit</v>
      </c>
    </row>
    <row r="639" spans="1:18" ht="15.75" customHeight="1" x14ac:dyDescent="0.4">
      <c r="A639" s="1" t="s">
        <v>1287</v>
      </c>
      <c r="B639" s="2">
        <v>45341</v>
      </c>
      <c r="C639" s="2">
        <v>45346</v>
      </c>
      <c r="D639" s="2" t="str">
        <f t="shared" si="57"/>
        <v>2024</v>
      </c>
      <c r="E639" s="2" t="str">
        <f t="shared" si="54"/>
        <v>February</v>
      </c>
      <c r="F639" s="2" t="str">
        <f t="shared" si="58"/>
        <v>Q1</v>
      </c>
      <c r="G639" s="13">
        <f t="shared" si="55"/>
        <v>5</v>
      </c>
      <c r="H639" s="12" t="s">
        <v>23</v>
      </c>
      <c r="I639" s="1" t="s">
        <v>59</v>
      </c>
      <c r="J639" s="1" t="s">
        <v>19</v>
      </c>
      <c r="K639" s="1" t="s">
        <v>92</v>
      </c>
      <c r="L639" s="1" t="s">
        <v>1288</v>
      </c>
      <c r="M639" s="10">
        <v>795.71</v>
      </c>
      <c r="N639" s="8">
        <v>6</v>
      </c>
      <c r="O639" s="6">
        <v>0.02</v>
      </c>
      <c r="P639" s="10">
        <v>734.24</v>
      </c>
      <c r="Q639" s="11">
        <f t="shared" si="56"/>
        <v>61.470000000000027</v>
      </c>
      <c r="R639" t="str">
        <f t="shared" si="59"/>
        <v>profit</v>
      </c>
    </row>
    <row r="640" spans="1:18" ht="15.75" customHeight="1" x14ac:dyDescent="0.4">
      <c r="A640" s="1" t="s">
        <v>1289</v>
      </c>
      <c r="B640" s="2">
        <v>45166</v>
      </c>
      <c r="C640" s="2">
        <v>45166</v>
      </c>
      <c r="D640" s="2" t="str">
        <f t="shared" si="57"/>
        <v>2023</v>
      </c>
      <c r="E640" s="2" t="str">
        <f t="shared" si="54"/>
        <v>August</v>
      </c>
      <c r="F640" s="2" t="str">
        <f t="shared" si="58"/>
        <v>Q3</v>
      </c>
      <c r="G640" s="13">
        <f t="shared" si="55"/>
        <v>0</v>
      </c>
      <c r="H640" s="12" t="s">
        <v>23</v>
      </c>
      <c r="I640" s="1" t="s">
        <v>18</v>
      </c>
      <c r="J640" s="1" t="s">
        <v>19</v>
      </c>
      <c r="K640" s="1" t="s">
        <v>35</v>
      </c>
      <c r="L640" s="1" t="s">
        <v>1290</v>
      </c>
      <c r="M640" s="10">
        <v>527.16999999999996</v>
      </c>
      <c r="N640" s="8">
        <v>4</v>
      </c>
      <c r="O640" s="6">
        <v>0.49</v>
      </c>
      <c r="P640" s="10">
        <v>244.48</v>
      </c>
      <c r="Q640" s="11">
        <f t="shared" si="56"/>
        <v>282.68999999999994</v>
      </c>
      <c r="R640" t="str">
        <f t="shared" si="59"/>
        <v>profit</v>
      </c>
    </row>
    <row r="641" spans="1:18" ht="15.75" customHeight="1" x14ac:dyDescent="0.4">
      <c r="A641" s="1" t="s">
        <v>1291</v>
      </c>
      <c r="B641" s="2">
        <v>45415</v>
      </c>
      <c r="C641" s="2">
        <v>45421</v>
      </c>
      <c r="D641" s="2" t="str">
        <f t="shared" si="57"/>
        <v>2024</v>
      </c>
      <c r="E641" s="2" t="str">
        <f t="shared" si="54"/>
        <v>May</v>
      </c>
      <c r="F641" s="2" t="str">
        <f t="shared" si="58"/>
        <v>Q2</v>
      </c>
      <c r="G641" s="13">
        <f t="shared" si="55"/>
        <v>6</v>
      </c>
      <c r="H641" s="12" t="s">
        <v>42</v>
      </c>
      <c r="I641" s="1" t="s">
        <v>50</v>
      </c>
      <c r="J641" s="1" t="s">
        <v>14</v>
      </c>
      <c r="K641" s="1" t="s">
        <v>54</v>
      </c>
      <c r="L641" s="1" t="s">
        <v>1292</v>
      </c>
      <c r="M641" s="10">
        <v>198.8</v>
      </c>
      <c r="N641" s="8">
        <v>5</v>
      </c>
      <c r="O641" s="6">
        <v>0.2</v>
      </c>
      <c r="P641" s="10">
        <v>129.19</v>
      </c>
      <c r="Q641" s="11">
        <f t="shared" si="56"/>
        <v>69.610000000000014</v>
      </c>
      <c r="R641" t="str">
        <f t="shared" si="59"/>
        <v>profit</v>
      </c>
    </row>
    <row r="642" spans="1:18" ht="15.75" customHeight="1" x14ac:dyDescent="0.4">
      <c r="A642" s="1" t="s">
        <v>1293</v>
      </c>
      <c r="B642" s="2">
        <v>45312</v>
      </c>
      <c r="C642" s="2">
        <v>45320</v>
      </c>
      <c r="D642" s="2" t="str">
        <f t="shared" si="57"/>
        <v>2024</v>
      </c>
      <c r="E642" s="2" t="str">
        <f t="shared" ref="E642:E705" si="60">TEXT(C642, "MMMM")</f>
        <v>January</v>
      </c>
      <c r="F642" s="2" t="str">
        <f t="shared" si="58"/>
        <v>Q1</v>
      </c>
      <c r="G642" s="13">
        <f t="shared" ref="G642:G705" si="61">DATEDIF(B642,C642, "D")</f>
        <v>8</v>
      </c>
      <c r="H642" s="12" t="s">
        <v>23</v>
      </c>
      <c r="I642" s="1" t="s">
        <v>13</v>
      </c>
      <c r="J642" s="1" t="s">
        <v>25</v>
      </c>
      <c r="K642" s="1" t="s">
        <v>47</v>
      </c>
      <c r="L642" s="1" t="s">
        <v>1294</v>
      </c>
      <c r="M642" s="10">
        <v>651.47</v>
      </c>
      <c r="N642" s="8">
        <v>7</v>
      </c>
      <c r="O642" s="6">
        <v>-1</v>
      </c>
      <c r="P642" s="10">
        <v>507.39</v>
      </c>
      <c r="Q642" s="11">
        <f t="shared" ref="Q642:Q705" si="62">M642 - P642</f>
        <v>144.08000000000004</v>
      </c>
      <c r="R642" t="str">
        <f t="shared" si="59"/>
        <v>profit</v>
      </c>
    </row>
    <row r="643" spans="1:18" ht="15.75" customHeight="1" x14ac:dyDescent="0.4">
      <c r="A643" s="1" t="s">
        <v>1295</v>
      </c>
      <c r="B643" s="2">
        <v>45516</v>
      </c>
      <c r="C643" s="2">
        <v>45521</v>
      </c>
      <c r="D643" s="2" t="str">
        <f t="shared" ref="D643:D706" si="63">IF(B643="","",TEXT(B643,"YYYY"))</f>
        <v>2024</v>
      </c>
      <c r="E643" s="2" t="str">
        <f t="shared" si="60"/>
        <v>August</v>
      </c>
      <c r="F643" s="2" t="str">
        <f t="shared" ref="F643:F706" si="64">IF(MONTH(C643)&lt;3,"Q1",IF(MONTH(C643)&lt;6,"Q2",IF(MONTH(C643)&lt;9,"Q3","Q4")))</f>
        <v>Q3</v>
      </c>
      <c r="G643" s="13">
        <f t="shared" si="61"/>
        <v>5</v>
      </c>
      <c r="H643" s="12" t="s">
        <v>1986</v>
      </c>
      <c r="I643" s="1" t="s">
        <v>18</v>
      </c>
      <c r="J643" s="1" t="s">
        <v>25</v>
      </c>
      <c r="K643" s="1" t="s">
        <v>26</v>
      </c>
      <c r="L643" s="1" t="s">
        <v>1296</v>
      </c>
      <c r="M643" s="10">
        <v>764.66</v>
      </c>
      <c r="N643" s="8">
        <v>5</v>
      </c>
      <c r="O643" s="6">
        <v>0.47</v>
      </c>
      <c r="P643" s="10">
        <v>368.42</v>
      </c>
      <c r="Q643" s="11">
        <f t="shared" si="62"/>
        <v>396.23999999999995</v>
      </c>
      <c r="R643" t="str">
        <f t="shared" si="59"/>
        <v>profit</v>
      </c>
    </row>
    <row r="644" spans="1:18" ht="15.75" customHeight="1" x14ac:dyDescent="0.4">
      <c r="A644" s="1" t="s">
        <v>1297</v>
      </c>
      <c r="B644" s="2">
        <v>45174</v>
      </c>
      <c r="C644" s="2">
        <v>45179</v>
      </c>
      <c r="D644" s="2" t="str">
        <f t="shared" si="63"/>
        <v>2023</v>
      </c>
      <c r="E644" s="2" t="str">
        <f t="shared" si="60"/>
        <v>September</v>
      </c>
      <c r="F644" s="2" t="str">
        <f t="shared" si="64"/>
        <v>Q4</v>
      </c>
      <c r="G644" s="13">
        <f t="shared" si="61"/>
        <v>5</v>
      </c>
      <c r="H644" s="12" t="s">
        <v>23</v>
      </c>
      <c r="I644" s="1" t="s">
        <v>53</v>
      </c>
      <c r="J644" s="1" t="s">
        <v>25</v>
      </c>
      <c r="K644" s="1" t="s">
        <v>47</v>
      </c>
      <c r="L644" s="1" t="s">
        <v>1298</v>
      </c>
      <c r="M644" s="10">
        <v>575.75</v>
      </c>
      <c r="N644" s="8">
        <v>5</v>
      </c>
      <c r="O644" s="6">
        <v>0.08</v>
      </c>
      <c r="P644" s="10">
        <v>498.02</v>
      </c>
      <c r="Q644" s="11">
        <f t="shared" si="62"/>
        <v>77.730000000000018</v>
      </c>
      <c r="R644" t="str">
        <f t="shared" ref="R644:R707" si="65">IF(P644&gt;0,"profit","loss")</f>
        <v>profit</v>
      </c>
    </row>
    <row r="645" spans="1:18" ht="15.75" customHeight="1" x14ac:dyDescent="0.4">
      <c r="A645" s="1" t="s">
        <v>1299</v>
      </c>
      <c r="B645" s="2">
        <v>45599</v>
      </c>
      <c r="C645" s="2">
        <v>45605</v>
      </c>
      <c r="D645" s="2" t="str">
        <f t="shared" si="63"/>
        <v>2024</v>
      </c>
      <c r="E645" s="2" t="str">
        <f t="shared" si="60"/>
        <v>November</v>
      </c>
      <c r="F645" s="2" t="str">
        <f t="shared" si="64"/>
        <v>Q4</v>
      </c>
      <c r="G645" s="13">
        <f t="shared" si="61"/>
        <v>6</v>
      </c>
      <c r="H645" s="12" t="s">
        <v>42</v>
      </c>
      <c r="I645" s="1" t="s">
        <v>59</v>
      </c>
      <c r="J645" s="1" t="s">
        <v>25</v>
      </c>
      <c r="K645" s="1" t="s">
        <v>47</v>
      </c>
      <c r="L645" s="1" t="s">
        <v>1300</v>
      </c>
      <c r="M645" s="10">
        <v>790.64</v>
      </c>
      <c r="N645" s="8">
        <v>2</v>
      </c>
      <c r="O645" s="6">
        <v>0.39</v>
      </c>
      <c r="P645" s="10">
        <v>462.09</v>
      </c>
      <c r="Q645" s="11">
        <f t="shared" si="62"/>
        <v>328.55</v>
      </c>
      <c r="R645" t="str">
        <f t="shared" si="65"/>
        <v>profit</v>
      </c>
    </row>
    <row r="646" spans="1:18" ht="15.75" customHeight="1" x14ac:dyDescent="0.4">
      <c r="A646" s="1" t="s">
        <v>1301</v>
      </c>
      <c r="B646" s="2">
        <v>45429</v>
      </c>
      <c r="C646" s="2">
        <v>45430</v>
      </c>
      <c r="D646" s="2" t="str">
        <f t="shared" si="63"/>
        <v>2024</v>
      </c>
      <c r="E646" s="2" t="str">
        <f t="shared" si="60"/>
        <v>May</v>
      </c>
      <c r="F646" s="2" t="str">
        <f t="shared" si="64"/>
        <v>Q2</v>
      </c>
      <c r="G646" s="13">
        <f t="shared" si="61"/>
        <v>1</v>
      </c>
      <c r="H646" s="12" t="s">
        <v>42</v>
      </c>
      <c r="I646" s="1" t="s">
        <v>53</v>
      </c>
      <c r="J646" s="1" t="s">
        <v>19</v>
      </c>
      <c r="K646" s="1" t="s">
        <v>35</v>
      </c>
      <c r="L646" s="1" t="s">
        <v>1302</v>
      </c>
      <c r="M646" s="10">
        <v>912.95</v>
      </c>
      <c r="N646" s="8">
        <v>5</v>
      </c>
      <c r="O646" s="6">
        <v>0.16</v>
      </c>
      <c r="P646" s="10">
        <v>747.24</v>
      </c>
      <c r="Q646" s="11">
        <f t="shared" si="62"/>
        <v>165.71000000000004</v>
      </c>
      <c r="R646" t="str">
        <f t="shared" si="65"/>
        <v>profit</v>
      </c>
    </row>
    <row r="647" spans="1:18" ht="15.75" customHeight="1" x14ac:dyDescent="0.4">
      <c r="A647" s="1" t="s">
        <v>1303</v>
      </c>
      <c r="B647" s="2">
        <v>44961</v>
      </c>
      <c r="C647" s="2">
        <v>44966</v>
      </c>
      <c r="D647" s="2" t="str">
        <f t="shared" si="63"/>
        <v>2023</v>
      </c>
      <c r="E647" s="2" t="str">
        <f t="shared" si="60"/>
        <v>February</v>
      </c>
      <c r="F647" s="2" t="str">
        <f t="shared" si="64"/>
        <v>Q1</v>
      </c>
      <c r="G647" s="13">
        <f t="shared" si="61"/>
        <v>5</v>
      </c>
      <c r="H647" s="12" t="s">
        <v>42</v>
      </c>
      <c r="I647" s="1" t="s">
        <v>50</v>
      </c>
      <c r="J647" s="1" t="s">
        <v>14</v>
      </c>
      <c r="K647" s="1" t="s">
        <v>15</v>
      </c>
      <c r="L647" s="1" t="s">
        <v>1304</v>
      </c>
      <c r="M647" s="10">
        <v>938.54</v>
      </c>
      <c r="N647" s="8">
        <v>6</v>
      </c>
      <c r="O647" s="6">
        <v>0.48</v>
      </c>
      <c r="P647" s="10">
        <v>439.59</v>
      </c>
      <c r="Q647" s="11">
        <f t="shared" si="62"/>
        <v>498.95</v>
      </c>
      <c r="R647" t="str">
        <f t="shared" si="65"/>
        <v>profit</v>
      </c>
    </row>
    <row r="648" spans="1:18" ht="15.75" customHeight="1" x14ac:dyDescent="0.4">
      <c r="A648" s="1" t="s">
        <v>1305</v>
      </c>
      <c r="B648" s="2">
        <v>45338</v>
      </c>
      <c r="C648" s="2">
        <v>45345</v>
      </c>
      <c r="D648" s="2" t="str">
        <f t="shared" si="63"/>
        <v>2024</v>
      </c>
      <c r="E648" s="2" t="str">
        <f t="shared" si="60"/>
        <v>February</v>
      </c>
      <c r="F648" s="2" t="str">
        <f t="shared" si="64"/>
        <v>Q1</v>
      </c>
      <c r="G648" s="13">
        <f t="shared" si="61"/>
        <v>7</v>
      </c>
      <c r="H648" s="12" t="s">
        <v>42</v>
      </c>
      <c r="I648" s="1" t="s">
        <v>24</v>
      </c>
      <c r="J648" s="1" t="s">
        <v>25</v>
      </c>
      <c r="K648" s="1" t="s">
        <v>43</v>
      </c>
      <c r="L648" s="1" t="s">
        <v>1306</v>
      </c>
      <c r="M648" s="10">
        <v>980.96</v>
      </c>
      <c r="N648" s="8">
        <v>9</v>
      </c>
      <c r="O648" s="6">
        <v>0.3</v>
      </c>
      <c r="P648" s="10">
        <v>673.83</v>
      </c>
      <c r="Q648" s="11">
        <f t="shared" si="62"/>
        <v>307.13</v>
      </c>
      <c r="R648" t="str">
        <f t="shared" si="65"/>
        <v>profit</v>
      </c>
    </row>
    <row r="649" spans="1:18" ht="15.75" customHeight="1" x14ac:dyDescent="0.4">
      <c r="A649" s="1" t="s">
        <v>1307</v>
      </c>
      <c r="B649" s="2">
        <v>45283</v>
      </c>
      <c r="C649" s="2">
        <v>45290</v>
      </c>
      <c r="D649" s="2" t="str">
        <f t="shared" si="63"/>
        <v>2023</v>
      </c>
      <c r="E649" s="2" t="str">
        <f t="shared" si="60"/>
        <v>December</v>
      </c>
      <c r="F649" s="2" t="str">
        <f t="shared" si="64"/>
        <v>Q4</v>
      </c>
      <c r="G649" s="13">
        <f t="shared" si="61"/>
        <v>7</v>
      </c>
      <c r="H649" s="12" t="s">
        <v>23</v>
      </c>
      <c r="I649" s="1" t="s">
        <v>59</v>
      </c>
      <c r="J649" s="1" t="s">
        <v>25</v>
      </c>
      <c r="K649" s="1" t="s">
        <v>43</v>
      </c>
      <c r="L649" s="1" t="s">
        <v>1308</v>
      </c>
      <c r="M649" s="10">
        <v>593.54</v>
      </c>
      <c r="N649" s="8">
        <v>4</v>
      </c>
      <c r="O649" s="6">
        <v>0.28999999999999998</v>
      </c>
      <c r="P649" s="10">
        <v>372.39</v>
      </c>
      <c r="Q649" s="11">
        <f t="shared" si="62"/>
        <v>221.14999999999998</v>
      </c>
      <c r="R649" t="str">
        <f t="shared" si="65"/>
        <v>profit</v>
      </c>
    </row>
    <row r="650" spans="1:18" ht="15.75" customHeight="1" x14ac:dyDescent="0.4">
      <c r="A650" s="1" t="s">
        <v>1309</v>
      </c>
      <c r="B650" s="2">
        <v>45160</v>
      </c>
      <c r="C650" s="2">
        <v>45168</v>
      </c>
      <c r="D650" s="2" t="str">
        <f t="shared" si="63"/>
        <v>2023</v>
      </c>
      <c r="E650" s="2" t="str">
        <f t="shared" si="60"/>
        <v>August</v>
      </c>
      <c r="F650" s="2" t="str">
        <f t="shared" si="64"/>
        <v>Q3</v>
      </c>
      <c r="G650" s="13">
        <f t="shared" si="61"/>
        <v>8</v>
      </c>
      <c r="H650" s="12" t="s">
        <v>1986</v>
      </c>
      <c r="I650" s="1" t="s">
        <v>50</v>
      </c>
      <c r="J650" s="1" t="s">
        <v>14</v>
      </c>
      <c r="K650" s="1" t="s">
        <v>15</v>
      </c>
      <c r="L650" s="1" t="s">
        <v>1310</v>
      </c>
      <c r="M650" s="10">
        <v>439.95</v>
      </c>
      <c r="N650" s="8">
        <v>10</v>
      </c>
      <c r="O650" s="6">
        <v>0.02</v>
      </c>
      <c r="P650" s="10">
        <v>396.74</v>
      </c>
      <c r="Q650" s="11">
        <f t="shared" si="62"/>
        <v>43.20999999999998</v>
      </c>
      <c r="R650" t="str">
        <f t="shared" si="65"/>
        <v>profit</v>
      </c>
    </row>
    <row r="651" spans="1:18" ht="15.75" customHeight="1" x14ac:dyDescent="0.4">
      <c r="A651" s="1" t="s">
        <v>1311</v>
      </c>
      <c r="B651" s="2">
        <v>45198</v>
      </c>
      <c r="C651" s="2">
        <v>45205</v>
      </c>
      <c r="D651" s="2" t="str">
        <f t="shared" si="63"/>
        <v>2023</v>
      </c>
      <c r="E651" s="2" t="str">
        <f t="shared" si="60"/>
        <v>October</v>
      </c>
      <c r="F651" s="2" t="str">
        <f t="shared" si="64"/>
        <v>Q4</v>
      </c>
      <c r="G651" s="13">
        <f t="shared" si="61"/>
        <v>7</v>
      </c>
      <c r="H651" s="12" t="s">
        <v>1986</v>
      </c>
      <c r="I651" s="1" t="s">
        <v>24</v>
      </c>
      <c r="J651" s="1" t="s">
        <v>25</v>
      </c>
      <c r="K651" s="1" t="s">
        <v>43</v>
      </c>
      <c r="L651" s="1" t="s">
        <v>1312</v>
      </c>
      <c r="M651" s="10">
        <v>823.87</v>
      </c>
      <c r="N651" s="8">
        <v>9</v>
      </c>
      <c r="O651" s="6">
        <v>0.42</v>
      </c>
      <c r="P651" s="10">
        <v>456.52</v>
      </c>
      <c r="Q651" s="11">
        <f t="shared" si="62"/>
        <v>367.35</v>
      </c>
      <c r="R651" t="str">
        <f t="shared" si="65"/>
        <v>profit</v>
      </c>
    </row>
    <row r="652" spans="1:18" ht="15.75" customHeight="1" x14ac:dyDescent="0.4">
      <c r="A652" s="1" t="s">
        <v>1313</v>
      </c>
      <c r="B652" s="2">
        <v>45423</v>
      </c>
      <c r="C652" s="2">
        <v>45428</v>
      </c>
      <c r="D652" s="2" t="str">
        <f t="shared" si="63"/>
        <v>2024</v>
      </c>
      <c r="E652" s="2" t="str">
        <f t="shared" si="60"/>
        <v>May</v>
      </c>
      <c r="F652" s="2" t="str">
        <f t="shared" si="64"/>
        <v>Q2</v>
      </c>
      <c r="G652" s="13">
        <f t="shared" si="61"/>
        <v>5</v>
      </c>
      <c r="H652" s="12" t="s">
        <v>23</v>
      </c>
      <c r="I652" s="1" t="s">
        <v>13</v>
      </c>
      <c r="J652" s="1" t="s">
        <v>25</v>
      </c>
      <c r="K652" s="1" t="s">
        <v>26</v>
      </c>
      <c r="L652" s="1" t="s">
        <v>1314</v>
      </c>
      <c r="M652" s="10">
        <v>829.02</v>
      </c>
      <c r="N652" s="8">
        <v>7</v>
      </c>
      <c r="O652" s="6">
        <v>0.15</v>
      </c>
      <c r="P652" s="10">
        <v>693.49</v>
      </c>
      <c r="Q652" s="11">
        <f t="shared" si="62"/>
        <v>135.52999999999997</v>
      </c>
      <c r="R652" t="str">
        <f t="shared" si="65"/>
        <v>profit</v>
      </c>
    </row>
    <row r="653" spans="1:18" ht="15.75" customHeight="1" x14ac:dyDescent="0.4">
      <c r="A653" s="1" t="s">
        <v>1315</v>
      </c>
      <c r="B653" s="2">
        <v>45276</v>
      </c>
      <c r="C653" s="2">
        <v>45277</v>
      </c>
      <c r="D653" s="2" t="str">
        <f t="shared" si="63"/>
        <v>2023</v>
      </c>
      <c r="E653" s="2" t="str">
        <f t="shared" si="60"/>
        <v>December</v>
      </c>
      <c r="F653" s="2" t="str">
        <f t="shared" si="64"/>
        <v>Q4</v>
      </c>
      <c r="G653" s="13">
        <f t="shared" si="61"/>
        <v>1</v>
      </c>
      <c r="H653" s="12" t="s">
        <v>1987</v>
      </c>
      <c r="I653" s="1" t="s">
        <v>24</v>
      </c>
      <c r="J653" s="1" t="s">
        <v>14</v>
      </c>
      <c r="K653" s="1" t="s">
        <v>15</v>
      </c>
      <c r="L653" s="1" t="s">
        <v>1316</v>
      </c>
      <c r="M653" s="10">
        <v>949.33</v>
      </c>
      <c r="N653" s="9" t="s">
        <v>1989</v>
      </c>
      <c r="O653" s="6">
        <v>0.37</v>
      </c>
      <c r="P653" s="10">
        <v>549.08000000000004</v>
      </c>
      <c r="Q653" s="11">
        <f t="shared" si="62"/>
        <v>400.25</v>
      </c>
      <c r="R653" t="str">
        <f t="shared" si="65"/>
        <v>profit</v>
      </c>
    </row>
    <row r="654" spans="1:18" ht="15.75" customHeight="1" x14ac:dyDescent="0.4">
      <c r="A654" s="1" t="s">
        <v>1317</v>
      </c>
      <c r="B654" s="2">
        <v>45304</v>
      </c>
      <c r="C654" s="2">
        <v>45306</v>
      </c>
      <c r="D654" s="2" t="str">
        <f t="shared" si="63"/>
        <v>2024</v>
      </c>
      <c r="E654" s="2" t="str">
        <f t="shared" si="60"/>
        <v>January</v>
      </c>
      <c r="F654" s="2" t="str">
        <f t="shared" si="64"/>
        <v>Q1</v>
      </c>
      <c r="G654" s="13">
        <f t="shared" si="61"/>
        <v>2</v>
      </c>
      <c r="H654" s="12" t="s">
        <v>42</v>
      </c>
      <c r="I654" s="1" t="s">
        <v>13</v>
      </c>
      <c r="J654" s="1" t="s">
        <v>25</v>
      </c>
      <c r="K654" s="1" t="s">
        <v>26</v>
      </c>
      <c r="L654" s="1" t="s">
        <v>62</v>
      </c>
      <c r="M654" s="10">
        <v>934.17</v>
      </c>
      <c r="N654" s="8">
        <v>8</v>
      </c>
      <c r="O654" s="6">
        <v>0.36</v>
      </c>
      <c r="P654" s="10">
        <v>584.1</v>
      </c>
      <c r="Q654" s="11">
        <f t="shared" si="62"/>
        <v>350.06999999999994</v>
      </c>
      <c r="R654" t="str">
        <f t="shared" si="65"/>
        <v>profit</v>
      </c>
    </row>
    <row r="655" spans="1:18" ht="15.75" customHeight="1" x14ac:dyDescent="0.4">
      <c r="A655" s="1" t="s">
        <v>1318</v>
      </c>
      <c r="B655" s="2">
        <v>45274</v>
      </c>
      <c r="C655" s="2">
        <v>45276</v>
      </c>
      <c r="D655" s="2" t="str">
        <f t="shared" si="63"/>
        <v>2023</v>
      </c>
      <c r="E655" s="2" t="str">
        <f t="shared" si="60"/>
        <v>December</v>
      </c>
      <c r="F655" s="2" t="str">
        <f t="shared" si="64"/>
        <v>Q4</v>
      </c>
      <c r="G655" s="13">
        <f t="shared" si="61"/>
        <v>2</v>
      </c>
      <c r="H655" s="12" t="s">
        <v>23</v>
      </c>
      <c r="I655" s="1" t="s">
        <v>18</v>
      </c>
      <c r="J655" s="1" t="s">
        <v>25</v>
      </c>
      <c r="K655" s="1" t="s">
        <v>43</v>
      </c>
      <c r="L655" s="1" t="s">
        <v>1319</v>
      </c>
      <c r="M655" s="10">
        <v>688.47</v>
      </c>
      <c r="N655" s="8">
        <v>3</v>
      </c>
      <c r="O655" s="6">
        <v>0.18</v>
      </c>
      <c r="P655" s="10">
        <v>546.29</v>
      </c>
      <c r="Q655" s="11">
        <f t="shared" si="62"/>
        <v>142.18000000000006</v>
      </c>
      <c r="R655" t="str">
        <f t="shared" si="65"/>
        <v>profit</v>
      </c>
    </row>
    <row r="656" spans="1:18" ht="15.75" customHeight="1" x14ac:dyDescent="0.4">
      <c r="A656" s="1" t="s">
        <v>1320</v>
      </c>
      <c r="B656" s="2">
        <v>45518</v>
      </c>
      <c r="C656" s="2">
        <v>45527</v>
      </c>
      <c r="D656" s="2" t="str">
        <f t="shared" si="63"/>
        <v>2024</v>
      </c>
      <c r="E656" s="2" t="str">
        <f t="shared" si="60"/>
        <v>August</v>
      </c>
      <c r="F656" s="2" t="str">
        <f t="shared" si="64"/>
        <v>Q3</v>
      </c>
      <c r="G656" s="13">
        <f t="shared" si="61"/>
        <v>9</v>
      </c>
      <c r="H656" s="12" t="s">
        <v>1987</v>
      </c>
      <c r="I656" s="1" t="s">
        <v>50</v>
      </c>
      <c r="J656" s="1" t="s">
        <v>25</v>
      </c>
      <c r="K656" s="1" t="s">
        <v>26</v>
      </c>
      <c r="L656" s="1" t="s">
        <v>1321</v>
      </c>
      <c r="M656" s="10">
        <v>467.63</v>
      </c>
      <c r="N656" s="8">
        <v>5</v>
      </c>
      <c r="O656" s="6">
        <v>0.5</v>
      </c>
      <c r="P656" s="10">
        <v>218.6</v>
      </c>
      <c r="Q656" s="11">
        <f t="shared" si="62"/>
        <v>249.03</v>
      </c>
      <c r="R656" t="str">
        <f t="shared" si="65"/>
        <v>profit</v>
      </c>
    </row>
    <row r="657" spans="1:18" ht="15.75" customHeight="1" x14ac:dyDescent="0.4">
      <c r="A657" s="1" t="s">
        <v>1324</v>
      </c>
      <c r="B657" s="2">
        <v>45106</v>
      </c>
      <c r="C657" s="2">
        <v>45113</v>
      </c>
      <c r="D657" s="2" t="str">
        <f t="shared" si="63"/>
        <v>2023</v>
      </c>
      <c r="E657" s="2" t="str">
        <f t="shared" si="60"/>
        <v>July</v>
      </c>
      <c r="F657" s="2" t="str">
        <f t="shared" si="64"/>
        <v>Q3</v>
      </c>
      <c r="G657" s="13">
        <f t="shared" si="61"/>
        <v>7</v>
      </c>
      <c r="H657" s="12" t="s">
        <v>42</v>
      </c>
      <c r="I657" s="1" t="s">
        <v>50</v>
      </c>
      <c r="J657" s="1" t="s">
        <v>14</v>
      </c>
      <c r="K657" s="1" t="s">
        <v>15</v>
      </c>
      <c r="L657" s="1" t="s">
        <v>1325</v>
      </c>
      <c r="M657" s="10">
        <v>675.6</v>
      </c>
      <c r="N657" s="8">
        <v>7</v>
      </c>
      <c r="O657" s="6">
        <v>0.3</v>
      </c>
      <c r="P657" s="10">
        <v>426.79</v>
      </c>
      <c r="Q657" s="11">
        <f t="shared" si="62"/>
        <v>248.81</v>
      </c>
      <c r="R657" t="str">
        <f t="shared" si="65"/>
        <v>profit</v>
      </c>
    </row>
    <row r="658" spans="1:18" ht="15.75" customHeight="1" x14ac:dyDescent="0.4">
      <c r="A658" s="1" t="s">
        <v>1326</v>
      </c>
      <c r="B658" s="2">
        <v>45460</v>
      </c>
      <c r="C658" s="2">
        <v>45465</v>
      </c>
      <c r="D658" s="2" t="str">
        <f t="shared" si="63"/>
        <v>2024</v>
      </c>
      <c r="E658" s="2" t="str">
        <f t="shared" si="60"/>
        <v>June</v>
      </c>
      <c r="F658" s="2" t="str">
        <f t="shared" si="64"/>
        <v>Q3</v>
      </c>
      <c r="G658" s="13">
        <f t="shared" si="61"/>
        <v>5</v>
      </c>
      <c r="H658" s="12" t="s">
        <v>1986</v>
      </c>
      <c r="I658" s="1" t="s">
        <v>24</v>
      </c>
      <c r="J658" s="1" t="s">
        <v>25</v>
      </c>
      <c r="K658" s="1" t="s">
        <v>26</v>
      </c>
      <c r="L658" s="1" t="s">
        <v>1327</v>
      </c>
      <c r="M658" s="10">
        <v>941.96</v>
      </c>
      <c r="N658" s="8">
        <v>7</v>
      </c>
      <c r="O658" s="6">
        <v>0.25</v>
      </c>
      <c r="P658" s="10">
        <v>680.46</v>
      </c>
      <c r="Q658" s="11">
        <f t="shared" si="62"/>
        <v>261.5</v>
      </c>
      <c r="R658" t="str">
        <f t="shared" si="65"/>
        <v>profit</v>
      </c>
    </row>
    <row r="659" spans="1:18" ht="15.75" customHeight="1" x14ac:dyDescent="0.4">
      <c r="A659" s="1" t="s">
        <v>1328</v>
      </c>
      <c r="B659" s="2">
        <v>44899</v>
      </c>
      <c r="C659" s="2">
        <v>44901</v>
      </c>
      <c r="D659" s="2" t="str">
        <f t="shared" si="63"/>
        <v>2022</v>
      </c>
      <c r="E659" s="2" t="str">
        <f t="shared" si="60"/>
        <v>December</v>
      </c>
      <c r="F659" s="2" t="str">
        <f t="shared" si="64"/>
        <v>Q4</v>
      </c>
      <c r="G659" s="13">
        <f t="shared" si="61"/>
        <v>2</v>
      </c>
      <c r="H659" s="12" t="s">
        <v>1986</v>
      </c>
      <c r="I659" s="1" t="s">
        <v>46</v>
      </c>
      <c r="J659" s="1" t="s">
        <v>14</v>
      </c>
      <c r="K659" s="1" t="s">
        <v>54</v>
      </c>
      <c r="L659" s="1" t="s">
        <v>1329</v>
      </c>
      <c r="M659" s="10">
        <v>81.180000000000007</v>
      </c>
      <c r="N659" s="8">
        <v>5</v>
      </c>
      <c r="O659" s="6">
        <v>0.42</v>
      </c>
      <c r="P659" s="10">
        <v>4.2699999999999996</v>
      </c>
      <c r="Q659" s="11">
        <f t="shared" si="62"/>
        <v>76.910000000000011</v>
      </c>
      <c r="R659" t="str">
        <f t="shared" si="65"/>
        <v>profit</v>
      </c>
    </row>
    <row r="660" spans="1:18" ht="15.75" customHeight="1" x14ac:dyDescent="0.4">
      <c r="A660" s="1" t="s">
        <v>1330</v>
      </c>
      <c r="B660" s="2">
        <v>45397</v>
      </c>
      <c r="C660" s="2">
        <v>45400</v>
      </c>
      <c r="D660" s="2" t="str">
        <f t="shared" si="63"/>
        <v>2024</v>
      </c>
      <c r="E660" s="2" t="str">
        <f t="shared" si="60"/>
        <v>April</v>
      </c>
      <c r="F660" s="2" t="str">
        <f t="shared" si="64"/>
        <v>Q2</v>
      </c>
      <c r="G660" s="13">
        <f t="shared" si="61"/>
        <v>3</v>
      </c>
      <c r="H660" s="12" t="s">
        <v>23</v>
      </c>
      <c r="I660" s="1" t="s">
        <v>46</v>
      </c>
      <c r="J660" s="1" t="s">
        <v>14</v>
      </c>
      <c r="K660" s="1" t="s">
        <v>15</v>
      </c>
      <c r="L660" s="1" t="s">
        <v>1331</v>
      </c>
      <c r="M660" s="10">
        <v>970.33</v>
      </c>
      <c r="N660" s="8">
        <v>5</v>
      </c>
      <c r="O660" s="6">
        <v>0.42</v>
      </c>
      <c r="P660" s="10">
        <v>522.04999999999995</v>
      </c>
      <c r="Q660" s="11">
        <f t="shared" si="62"/>
        <v>448.28000000000009</v>
      </c>
      <c r="R660" t="str">
        <f t="shared" si="65"/>
        <v>profit</v>
      </c>
    </row>
    <row r="661" spans="1:18" ht="15.75" customHeight="1" x14ac:dyDescent="0.4">
      <c r="A661" s="1" t="s">
        <v>1332</v>
      </c>
      <c r="B661" s="2">
        <v>45041</v>
      </c>
      <c r="C661" s="2">
        <v>45043</v>
      </c>
      <c r="D661" s="2" t="str">
        <f t="shared" si="63"/>
        <v>2023</v>
      </c>
      <c r="E661" s="2" t="str">
        <f t="shared" si="60"/>
        <v>April</v>
      </c>
      <c r="F661" s="2" t="str">
        <f t="shared" si="64"/>
        <v>Q2</v>
      </c>
      <c r="G661" s="13">
        <f t="shared" si="61"/>
        <v>2</v>
      </c>
      <c r="H661" s="12" t="s">
        <v>23</v>
      </c>
      <c r="I661" s="1" t="s">
        <v>13</v>
      </c>
      <c r="J661" s="1" t="s">
        <v>19</v>
      </c>
      <c r="K661" s="1" t="s">
        <v>20</v>
      </c>
      <c r="L661" s="1" t="s">
        <v>1333</v>
      </c>
      <c r="M661" s="10">
        <v>503.64</v>
      </c>
      <c r="N661" s="8">
        <v>2</v>
      </c>
      <c r="O661" s="6">
        <v>0.01</v>
      </c>
      <c r="P661" s="10">
        <v>459.56</v>
      </c>
      <c r="Q661" s="11">
        <f t="shared" si="62"/>
        <v>44.079999999999984</v>
      </c>
      <c r="R661" t="str">
        <f t="shared" si="65"/>
        <v>profit</v>
      </c>
    </row>
    <row r="662" spans="1:18" ht="15.75" customHeight="1" x14ac:dyDescent="0.4">
      <c r="A662" s="3" t="s">
        <v>1334</v>
      </c>
      <c r="B662" s="2">
        <v>44944</v>
      </c>
      <c r="C662" s="2">
        <v>44949</v>
      </c>
      <c r="D662" s="2" t="str">
        <f t="shared" si="63"/>
        <v>2023</v>
      </c>
      <c r="E662" s="2" t="str">
        <f t="shared" si="60"/>
        <v>January</v>
      </c>
      <c r="F662" s="2" t="str">
        <f t="shared" si="64"/>
        <v>Q1</v>
      </c>
      <c r="G662" s="13">
        <f t="shared" si="61"/>
        <v>5</v>
      </c>
      <c r="H662" s="12" t="s">
        <v>42</v>
      </c>
      <c r="I662" s="1" t="s">
        <v>50</v>
      </c>
      <c r="J662" s="1" t="s">
        <v>19</v>
      </c>
      <c r="K662" s="1" t="s">
        <v>20</v>
      </c>
      <c r="L662" s="1" t="s">
        <v>776</v>
      </c>
      <c r="M662" s="10">
        <v>134.65</v>
      </c>
      <c r="N662" s="8">
        <v>4</v>
      </c>
      <c r="O662" s="6">
        <v>0.28999999999999998</v>
      </c>
      <c r="P662" s="10">
        <v>67.37</v>
      </c>
      <c r="Q662" s="11">
        <f t="shared" si="62"/>
        <v>67.28</v>
      </c>
      <c r="R662" t="str">
        <f t="shared" si="65"/>
        <v>profit</v>
      </c>
    </row>
    <row r="663" spans="1:18" ht="15.75" customHeight="1" x14ac:dyDescent="0.4">
      <c r="A663" s="1" t="s">
        <v>1335</v>
      </c>
      <c r="B663" s="2">
        <v>45475</v>
      </c>
      <c r="C663" s="2">
        <v>45477</v>
      </c>
      <c r="D663" s="2" t="str">
        <f t="shared" si="63"/>
        <v>2024</v>
      </c>
      <c r="E663" s="2" t="str">
        <f t="shared" si="60"/>
        <v>July</v>
      </c>
      <c r="F663" s="2" t="str">
        <f t="shared" si="64"/>
        <v>Q3</v>
      </c>
      <c r="G663" s="13">
        <f t="shared" si="61"/>
        <v>2</v>
      </c>
      <c r="H663" s="12" t="s">
        <v>1987</v>
      </c>
      <c r="I663" s="1" t="s">
        <v>59</v>
      </c>
      <c r="J663" s="1" t="s">
        <v>25</v>
      </c>
      <c r="K663" s="1" t="s">
        <v>26</v>
      </c>
      <c r="L663" s="1" t="s">
        <v>1336</v>
      </c>
      <c r="M663" s="10">
        <v>650.89</v>
      </c>
      <c r="N663" s="8">
        <v>10</v>
      </c>
      <c r="O663" s="6">
        <v>0.1</v>
      </c>
      <c r="P663" s="10">
        <v>536.03</v>
      </c>
      <c r="Q663" s="11">
        <f t="shared" si="62"/>
        <v>114.86000000000001</v>
      </c>
      <c r="R663" t="str">
        <f t="shared" si="65"/>
        <v>profit</v>
      </c>
    </row>
    <row r="664" spans="1:18" ht="15.75" customHeight="1" x14ac:dyDescent="0.4">
      <c r="A664" s="1" t="s">
        <v>1337</v>
      </c>
      <c r="B664" s="2">
        <v>45611</v>
      </c>
      <c r="C664" s="2">
        <v>45618</v>
      </c>
      <c r="D664" s="2" t="str">
        <f t="shared" si="63"/>
        <v>2024</v>
      </c>
      <c r="E664" s="2" t="str">
        <f t="shared" si="60"/>
        <v>November</v>
      </c>
      <c r="F664" s="2" t="str">
        <f t="shared" si="64"/>
        <v>Q4</v>
      </c>
      <c r="G664" s="13">
        <f t="shared" si="61"/>
        <v>7</v>
      </c>
      <c r="H664" s="12" t="s">
        <v>23</v>
      </c>
      <c r="I664" s="1" t="s">
        <v>24</v>
      </c>
      <c r="J664" s="1" t="s">
        <v>14</v>
      </c>
      <c r="K664" s="1" t="s">
        <v>54</v>
      </c>
      <c r="L664" s="1" t="s">
        <v>1338</v>
      </c>
      <c r="M664" s="10">
        <v>229.13</v>
      </c>
      <c r="N664" s="8">
        <v>7</v>
      </c>
      <c r="O664" s="6">
        <v>0.23</v>
      </c>
      <c r="P664" s="10">
        <v>150.68</v>
      </c>
      <c r="Q664" s="11">
        <f t="shared" si="62"/>
        <v>78.449999999999989</v>
      </c>
      <c r="R664" t="str">
        <f t="shared" si="65"/>
        <v>profit</v>
      </c>
    </row>
    <row r="665" spans="1:18" ht="15.75" customHeight="1" x14ac:dyDescent="0.4">
      <c r="A665" s="1" t="s">
        <v>1339</v>
      </c>
      <c r="B665" s="2">
        <v>45119</v>
      </c>
      <c r="C665" s="2">
        <v>45124</v>
      </c>
      <c r="D665" s="2" t="str">
        <f t="shared" si="63"/>
        <v>2023</v>
      </c>
      <c r="E665" s="2" t="str">
        <f t="shared" si="60"/>
        <v>July</v>
      </c>
      <c r="F665" s="2" t="str">
        <f t="shared" si="64"/>
        <v>Q3</v>
      </c>
      <c r="G665" s="13">
        <f t="shared" si="61"/>
        <v>5</v>
      </c>
      <c r="H665" s="12" t="s">
        <v>1987</v>
      </c>
      <c r="I665" s="1" t="s">
        <v>53</v>
      </c>
      <c r="J665" s="1" t="s">
        <v>19</v>
      </c>
      <c r="K665" s="1" t="s">
        <v>92</v>
      </c>
      <c r="L665" s="1" t="s">
        <v>1340</v>
      </c>
      <c r="M665" s="10">
        <v>120.41</v>
      </c>
      <c r="N665" s="8">
        <v>1</v>
      </c>
      <c r="O665" s="6">
        <v>0.43</v>
      </c>
      <c r="P665" s="10">
        <v>39.409999999999997</v>
      </c>
      <c r="Q665" s="11">
        <f t="shared" si="62"/>
        <v>81</v>
      </c>
      <c r="R665" t="str">
        <f t="shared" si="65"/>
        <v>profit</v>
      </c>
    </row>
    <row r="666" spans="1:18" ht="15.75" customHeight="1" x14ac:dyDescent="0.4">
      <c r="A666" s="1" t="s">
        <v>1341</v>
      </c>
      <c r="B666" s="2">
        <v>45515</v>
      </c>
      <c r="C666" s="2">
        <v>45521</v>
      </c>
      <c r="D666" s="2" t="str">
        <f t="shared" si="63"/>
        <v>2024</v>
      </c>
      <c r="E666" s="2" t="str">
        <f t="shared" si="60"/>
        <v>August</v>
      </c>
      <c r="F666" s="2" t="str">
        <f t="shared" si="64"/>
        <v>Q3</v>
      </c>
      <c r="G666" s="13">
        <f t="shared" si="61"/>
        <v>6</v>
      </c>
      <c r="H666" s="12" t="s">
        <v>1987</v>
      </c>
      <c r="I666" s="1" t="s">
        <v>46</v>
      </c>
      <c r="J666" s="1" t="s">
        <v>25</v>
      </c>
      <c r="K666" s="1" t="s">
        <v>43</v>
      </c>
      <c r="L666" s="1" t="s">
        <v>1342</v>
      </c>
      <c r="M666" s="10">
        <v>939.07</v>
      </c>
      <c r="N666" s="8">
        <v>1</v>
      </c>
      <c r="O666" s="6">
        <v>0.08</v>
      </c>
      <c r="P666" s="10">
        <v>833.42</v>
      </c>
      <c r="Q666" s="11">
        <f t="shared" si="62"/>
        <v>105.65000000000009</v>
      </c>
      <c r="R666" t="str">
        <f t="shared" si="65"/>
        <v>profit</v>
      </c>
    </row>
    <row r="667" spans="1:18" ht="15.75" customHeight="1" x14ac:dyDescent="0.4">
      <c r="A667" s="1" t="s">
        <v>1343</v>
      </c>
      <c r="B667" s="2">
        <v>45403</v>
      </c>
      <c r="C667" s="2">
        <v>45412</v>
      </c>
      <c r="D667" s="2" t="str">
        <f t="shared" si="63"/>
        <v>2024</v>
      </c>
      <c r="E667" s="2" t="str">
        <f t="shared" si="60"/>
        <v>April</v>
      </c>
      <c r="F667" s="2" t="str">
        <f t="shared" si="64"/>
        <v>Q2</v>
      </c>
      <c r="G667" s="13">
        <f t="shared" si="61"/>
        <v>9</v>
      </c>
      <c r="H667" s="12" t="s">
        <v>42</v>
      </c>
      <c r="I667" s="1" t="s">
        <v>13</v>
      </c>
      <c r="J667" s="1" t="s">
        <v>19</v>
      </c>
      <c r="K667" s="1" t="s">
        <v>20</v>
      </c>
      <c r="L667" s="1" t="s">
        <v>1344</v>
      </c>
      <c r="M667" s="10">
        <v>411.03</v>
      </c>
      <c r="N667" s="8">
        <v>10</v>
      </c>
      <c r="O667" s="6">
        <v>0.1</v>
      </c>
      <c r="P667" s="10">
        <v>331.03</v>
      </c>
      <c r="Q667" s="11">
        <f t="shared" si="62"/>
        <v>80</v>
      </c>
      <c r="R667" t="str">
        <f t="shared" si="65"/>
        <v>profit</v>
      </c>
    </row>
    <row r="668" spans="1:18" ht="15.75" customHeight="1" x14ac:dyDescent="0.4">
      <c r="A668" s="1" t="s">
        <v>1345</v>
      </c>
      <c r="B668" s="2">
        <v>45261</v>
      </c>
      <c r="C668" s="2">
        <v>45262</v>
      </c>
      <c r="D668" s="2" t="str">
        <f t="shared" si="63"/>
        <v>2023</v>
      </c>
      <c r="E668" s="2" t="str">
        <f t="shared" si="60"/>
        <v>December</v>
      </c>
      <c r="F668" s="2" t="str">
        <f t="shared" si="64"/>
        <v>Q4</v>
      </c>
      <c r="G668" s="13">
        <f t="shared" si="61"/>
        <v>1</v>
      </c>
      <c r="H668" s="12" t="s">
        <v>23</v>
      </c>
      <c r="I668" s="1" t="s">
        <v>59</v>
      </c>
      <c r="J668" s="1" t="s">
        <v>19</v>
      </c>
      <c r="K668" s="1" t="s">
        <v>35</v>
      </c>
      <c r="L668" s="1" t="s">
        <v>1346</v>
      </c>
      <c r="M668" s="10">
        <v>562.20000000000005</v>
      </c>
      <c r="N668" s="8">
        <v>9</v>
      </c>
      <c r="O668" s="6">
        <v>0.15</v>
      </c>
      <c r="P668" s="10">
        <v>441.31</v>
      </c>
      <c r="Q668" s="11">
        <f t="shared" si="62"/>
        <v>120.89000000000004</v>
      </c>
      <c r="R668" t="str">
        <f t="shared" si="65"/>
        <v>profit</v>
      </c>
    </row>
    <row r="669" spans="1:18" ht="15.75" customHeight="1" x14ac:dyDescent="0.4">
      <c r="A669" s="1" t="s">
        <v>1347</v>
      </c>
      <c r="B669" s="2">
        <v>45597</v>
      </c>
      <c r="C669" s="2">
        <v>45597</v>
      </c>
      <c r="D669" s="2" t="str">
        <f t="shared" si="63"/>
        <v>2024</v>
      </c>
      <c r="E669" s="2" t="str">
        <f t="shared" si="60"/>
        <v>November</v>
      </c>
      <c r="F669" s="2" t="str">
        <f t="shared" si="64"/>
        <v>Q4</v>
      </c>
      <c r="G669" s="13">
        <f t="shared" si="61"/>
        <v>0</v>
      </c>
      <c r="H669" s="12" t="s">
        <v>1986</v>
      </c>
      <c r="I669" s="1" t="s">
        <v>59</v>
      </c>
      <c r="J669" s="1" t="s">
        <v>25</v>
      </c>
      <c r="K669" s="1" t="s">
        <v>47</v>
      </c>
      <c r="L669" s="1" t="s">
        <v>1348</v>
      </c>
      <c r="M669" s="10">
        <v>953.03</v>
      </c>
      <c r="N669" s="8">
        <v>6</v>
      </c>
      <c r="O669" s="6">
        <v>0.16</v>
      </c>
      <c r="P669" s="10">
        <v>760.9</v>
      </c>
      <c r="Q669" s="11">
        <f t="shared" si="62"/>
        <v>192.13</v>
      </c>
      <c r="R669" t="str">
        <f t="shared" si="65"/>
        <v>profit</v>
      </c>
    </row>
    <row r="670" spans="1:18" ht="15.75" customHeight="1" x14ac:dyDescent="0.4">
      <c r="A670" s="1" t="s">
        <v>1349</v>
      </c>
      <c r="B670" s="2">
        <v>44906</v>
      </c>
      <c r="C670" s="2">
        <v>44909</v>
      </c>
      <c r="D670" s="2" t="str">
        <f t="shared" si="63"/>
        <v>2022</v>
      </c>
      <c r="E670" s="2" t="str">
        <f t="shared" si="60"/>
        <v>December</v>
      </c>
      <c r="F670" s="2" t="str">
        <f t="shared" si="64"/>
        <v>Q4</v>
      </c>
      <c r="G670" s="13">
        <f t="shared" si="61"/>
        <v>3</v>
      </c>
      <c r="H670" s="12" t="s">
        <v>1986</v>
      </c>
      <c r="I670" s="1" t="s">
        <v>18</v>
      </c>
      <c r="J670" s="1" t="s">
        <v>19</v>
      </c>
      <c r="K670" s="1" t="s">
        <v>20</v>
      </c>
      <c r="L670" s="1" t="s">
        <v>1350</v>
      </c>
      <c r="M670" s="10">
        <v>62.32</v>
      </c>
      <c r="N670" s="8">
        <v>9</v>
      </c>
      <c r="O670" s="6">
        <v>0.11</v>
      </c>
      <c r="P670" s="10">
        <v>18.100000000000001</v>
      </c>
      <c r="Q670" s="11">
        <f t="shared" si="62"/>
        <v>44.22</v>
      </c>
      <c r="R670" t="str">
        <f t="shared" si="65"/>
        <v>profit</v>
      </c>
    </row>
    <row r="671" spans="1:18" ht="15.75" customHeight="1" x14ac:dyDescent="0.4">
      <c r="A671" s="1" t="s">
        <v>1351</v>
      </c>
      <c r="B671" s="2">
        <v>45474</v>
      </c>
      <c r="C671" s="2">
        <v>45479</v>
      </c>
      <c r="D671" s="2" t="str">
        <f t="shared" si="63"/>
        <v>2024</v>
      </c>
      <c r="E671" s="2" t="str">
        <f t="shared" si="60"/>
        <v>July</v>
      </c>
      <c r="F671" s="2" t="str">
        <f t="shared" si="64"/>
        <v>Q3</v>
      </c>
      <c r="G671" s="13">
        <f t="shared" si="61"/>
        <v>5</v>
      </c>
      <c r="H671" s="12" t="s">
        <v>42</v>
      </c>
      <c r="I671" s="1" t="s">
        <v>29</v>
      </c>
      <c r="J671" s="1" t="s">
        <v>25</v>
      </c>
      <c r="K671" s="1" t="s">
        <v>47</v>
      </c>
      <c r="L671" s="1" t="s">
        <v>1352</v>
      </c>
      <c r="M671" s="10">
        <v>673.76</v>
      </c>
      <c r="N671" s="8">
        <v>4</v>
      </c>
      <c r="O671" s="6">
        <v>0.43</v>
      </c>
      <c r="P671" s="10">
        <v>356.49</v>
      </c>
      <c r="Q671" s="11">
        <f t="shared" si="62"/>
        <v>317.27</v>
      </c>
      <c r="R671" t="str">
        <f t="shared" si="65"/>
        <v>profit</v>
      </c>
    </row>
    <row r="672" spans="1:18" ht="15.75" customHeight="1" x14ac:dyDescent="0.4">
      <c r="A672" s="1" t="s">
        <v>1353</v>
      </c>
      <c r="B672" s="2">
        <v>45338</v>
      </c>
      <c r="C672" s="2">
        <v>45339</v>
      </c>
      <c r="D672" s="2" t="str">
        <f t="shared" si="63"/>
        <v>2024</v>
      </c>
      <c r="E672" s="2" t="str">
        <f t="shared" si="60"/>
        <v>February</v>
      </c>
      <c r="F672" s="2" t="str">
        <f t="shared" si="64"/>
        <v>Q1</v>
      </c>
      <c r="G672" s="13">
        <f t="shared" si="61"/>
        <v>1</v>
      </c>
      <c r="H672" s="12" t="s">
        <v>1986</v>
      </c>
      <c r="I672" s="1" t="s">
        <v>24</v>
      </c>
      <c r="J672" s="1" t="s">
        <v>25</v>
      </c>
      <c r="K672" s="1" t="s">
        <v>43</v>
      </c>
      <c r="L672" s="1" t="s">
        <v>1354</v>
      </c>
      <c r="M672" s="10">
        <v>741.8</v>
      </c>
      <c r="N672" s="8">
        <v>3</v>
      </c>
      <c r="O672" s="6">
        <v>0.28999999999999998</v>
      </c>
      <c r="P672" s="10">
        <v>511.96</v>
      </c>
      <c r="Q672" s="11">
        <f t="shared" si="62"/>
        <v>229.83999999999997</v>
      </c>
      <c r="R672" t="str">
        <f t="shared" si="65"/>
        <v>profit</v>
      </c>
    </row>
    <row r="673" spans="1:18" ht="15.75" customHeight="1" x14ac:dyDescent="0.4">
      <c r="A673" s="1" t="s">
        <v>1355</v>
      </c>
      <c r="B673" s="2">
        <v>45121</v>
      </c>
      <c r="C673" s="2">
        <v>45124</v>
      </c>
      <c r="D673" s="2" t="str">
        <f t="shared" si="63"/>
        <v>2023</v>
      </c>
      <c r="E673" s="2" t="str">
        <f t="shared" si="60"/>
        <v>July</v>
      </c>
      <c r="F673" s="2" t="str">
        <f t="shared" si="64"/>
        <v>Q3</v>
      </c>
      <c r="G673" s="13">
        <f t="shared" si="61"/>
        <v>3</v>
      </c>
      <c r="H673" s="12" t="s">
        <v>1986</v>
      </c>
      <c r="I673" s="1" t="s">
        <v>24</v>
      </c>
      <c r="J673" s="1" t="s">
        <v>14</v>
      </c>
      <c r="K673" s="1" t="s">
        <v>15</v>
      </c>
      <c r="L673" s="1" t="s">
        <v>1356</v>
      </c>
      <c r="M673" s="10">
        <v>518.58000000000004</v>
      </c>
      <c r="N673" s="8">
        <v>10</v>
      </c>
      <c r="O673" s="6">
        <v>0.12</v>
      </c>
      <c r="P673" s="10">
        <v>429.24</v>
      </c>
      <c r="Q673" s="11">
        <f t="shared" si="62"/>
        <v>89.340000000000032</v>
      </c>
      <c r="R673" t="str">
        <f t="shared" si="65"/>
        <v>profit</v>
      </c>
    </row>
    <row r="674" spans="1:18" ht="15.75" customHeight="1" x14ac:dyDescent="0.4">
      <c r="A674" s="1" t="s">
        <v>1359</v>
      </c>
      <c r="B674" s="2">
        <v>45368</v>
      </c>
      <c r="C674" s="2">
        <v>45377</v>
      </c>
      <c r="D674" s="2" t="str">
        <f t="shared" si="63"/>
        <v>2024</v>
      </c>
      <c r="E674" s="2" t="str">
        <f t="shared" si="60"/>
        <v>March</v>
      </c>
      <c r="F674" s="2" t="str">
        <f t="shared" si="64"/>
        <v>Q2</v>
      </c>
      <c r="G674" s="13">
        <f t="shared" si="61"/>
        <v>9</v>
      </c>
      <c r="H674" s="12" t="s">
        <v>23</v>
      </c>
      <c r="I674" s="1" t="s">
        <v>59</v>
      </c>
      <c r="J674" s="1" t="s">
        <v>19</v>
      </c>
      <c r="K674" s="1" t="s">
        <v>35</v>
      </c>
      <c r="L674" s="1" t="s">
        <v>1360</v>
      </c>
      <c r="M674" s="10">
        <v>169.57</v>
      </c>
      <c r="N674" s="8">
        <v>9</v>
      </c>
      <c r="O674" s="6">
        <v>0.25</v>
      </c>
      <c r="P674" s="10">
        <v>116.61</v>
      </c>
      <c r="Q674" s="11">
        <f t="shared" si="62"/>
        <v>52.959999999999994</v>
      </c>
      <c r="R674" t="str">
        <f t="shared" si="65"/>
        <v>profit</v>
      </c>
    </row>
    <row r="675" spans="1:18" ht="15.75" customHeight="1" x14ac:dyDescent="0.4">
      <c r="A675" s="1" t="s">
        <v>1361</v>
      </c>
      <c r="B675" s="2">
        <v>45250</v>
      </c>
      <c r="C675" s="2">
        <v>45254</v>
      </c>
      <c r="D675" s="2" t="str">
        <f t="shared" si="63"/>
        <v>2023</v>
      </c>
      <c r="E675" s="2" t="str">
        <f t="shared" si="60"/>
        <v>November</v>
      </c>
      <c r="F675" s="2" t="str">
        <f t="shared" si="64"/>
        <v>Q4</v>
      </c>
      <c r="G675" s="13">
        <f t="shared" si="61"/>
        <v>4</v>
      </c>
      <c r="H675" s="12" t="s">
        <v>1986</v>
      </c>
      <c r="I675" s="1" t="s">
        <v>46</v>
      </c>
      <c r="J675" s="1" t="s">
        <v>14</v>
      </c>
      <c r="K675" s="1" t="s">
        <v>15</v>
      </c>
      <c r="L675" s="1" t="s">
        <v>1362</v>
      </c>
      <c r="M675" s="10">
        <v>504.9</v>
      </c>
      <c r="N675" s="8">
        <v>8</v>
      </c>
      <c r="O675" s="6">
        <v>0.15</v>
      </c>
      <c r="P675" s="10">
        <v>392.75</v>
      </c>
      <c r="Q675" s="11">
        <f t="shared" si="62"/>
        <v>112.14999999999998</v>
      </c>
      <c r="R675" t="str">
        <f t="shared" si="65"/>
        <v>profit</v>
      </c>
    </row>
    <row r="676" spans="1:18" ht="15.75" customHeight="1" x14ac:dyDescent="0.4">
      <c r="A676" s="1" t="s">
        <v>1363</v>
      </c>
      <c r="B676" s="2">
        <v>45007</v>
      </c>
      <c r="C676" s="2">
        <v>45010</v>
      </c>
      <c r="D676" s="2" t="str">
        <f t="shared" si="63"/>
        <v>2023</v>
      </c>
      <c r="E676" s="2" t="str">
        <f t="shared" si="60"/>
        <v>March</v>
      </c>
      <c r="F676" s="2" t="str">
        <f t="shared" si="64"/>
        <v>Q2</v>
      </c>
      <c r="G676" s="13">
        <f t="shared" si="61"/>
        <v>3</v>
      </c>
      <c r="H676" s="12" t="s">
        <v>42</v>
      </c>
      <c r="I676" s="1" t="s">
        <v>13</v>
      </c>
      <c r="J676" s="1" t="s">
        <v>14</v>
      </c>
      <c r="K676" s="1" t="s">
        <v>15</v>
      </c>
      <c r="L676" s="1" t="s">
        <v>1364</v>
      </c>
      <c r="M676" s="10">
        <v>420.13</v>
      </c>
      <c r="N676" s="8">
        <v>4</v>
      </c>
      <c r="O676" s="6">
        <v>0.06</v>
      </c>
      <c r="P676" s="10">
        <v>353.02</v>
      </c>
      <c r="Q676" s="11">
        <f t="shared" si="62"/>
        <v>67.110000000000014</v>
      </c>
      <c r="R676" t="str">
        <f t="shared" si="65"/>
        <v>profit</v>
      </c>
    </row>
    <row r="677" spans="1:18" ht="15.75" customHeight="1" x14ac:dyDescent="0.4">
      <c r="A677" s="1" t="s">
        <v>1365</v>
      </c>
      <c r="B677" s="2">
        <v>45212</v>
      </c>
      <c r="C677" s="2">
        <v>45218</v>
      </c>
      <c r="D677" s="2" t="str">
        <f t="shared" si="63"/>
        <v>2023</v>
      </c>
      <c r="E677" s="2" t="str">
        <f t="shared" si="60"/>
        <v>October</v>
      </c>
      <c r="F677" s="2" t="str">
        <f t="shared" si="64"/>
        <v>Q4</v>
      </c>
      <c r="G677" s="13">
        <f t="shared" si="61"/>
        <v>6</v>
      </c>
      <c r="H677" s="12" t="s">
        <v>42</v>
      </c>
      <c r="I677" s="1" t="s">
        <v>13</v>
      </c>
      <c r="J677" s="1" t="s">
        <v>25</v>
      </c>
      <c r="K677" s="1" t="s">
        <v>26</v>
      </c>
      <c r="L677" s="1" t="s">
        <v>1366</v>
      </c>
      <c r="M677" s="10">
        <v>496.88</v>
      </c>
      <c r="N677" s="8">
        <v>6</v>
      </c>
      <c r="O677" s="6">
        <v>0.35</v>
      </c>
      <c r="P677" s="10">
        <v>299.93</v>
      </c>
      <c r="Q677" s="11">
        <f t="shared" si="62"/>
        <v>196.95</v>
      </c>
      <c r="R677" t="str">
        <f t="shared" si="65"/>
        <v>profit</v>
      </c>
    </row>
    <row r="678" spans="1:18" ht="15.75" customHeight="1" x14ac:dyDescent="0.4">
      <c r="A678" s="1" t="s">
        <v>1367</v>
      </c>
      <c r="B678" s="2">
        <v>45375</v>
      </c>
      <c r="C678" s="2">
        <v>45375</v>
      </c>
      <c r="D678" s="2" t="str">
        <f t="shared" si="63"/>
        <v>2024</v>
      </c>
      <c r="E678" s="2" t="str">
        <f t="shared" si="60"/>
        <v>March</v>
      </c>
      <c r="F678" s="2" t="str">
        <f t="shared" si="64"/>
        <v>Q2</v>
      </c>
      <c r="G678" s="13">
        <f t="shared" si="61"/>
        <v>0</v>
      </c>
      <c r="H678" s="12" t="s">
        <v>42</v>
      </c>
      <c r="I678" s="1" t="s">
        <v>53</v>
      </c>
      <c r="J678" s="1" t="s">
        <v>19</v>
      </c>
      <c r="K678" s="1" t="s">
        <v>92</v>
      </c>
      <c r="L678" s="1" t="s">
        <v>1368</v>
      </c>
      <c r="M678" s="10">
        <v>680.1</v>
      </c>
      <c r="N678" s="8">
        <v>2</v>
      </c>
      <c r="O678" s="6">
        <v>0.08</v>
      </c>
      <c r="P678" s="10">
        <v>600.32000000000005</v>
      </c>
      <c r="Q678" s="11">
        <f t="shared" si="62"/>
        <v>79.779999999999973</v>
      </c>
      <c r="R678" t="str">
        <f t="shared" si="65"/>
        <v>profit</v>
      </c>
    </row>
    <row r="679" spans="1:18" ht="15.75" customHeight="1" x14ac:dyDescent="0.4">
      <c r="A679" s="1" t="s">
        <v>1369</v>
      </c>
      <c r="C679" s="2">
        <v>45349</v>
      </c>
      <c r="D679" s="2" t="str">
        <f t="shared" si="63"/>
        <v/>
      </c>
      <c r="E679" s="2" t="str">
        <f t="shared" si="60"/>
        <v>February</v>
      </c>
      <c r="F679" s="2" t="str">
        <f t="shared" si="64"/>
        <v>Q1</v>
      </c>
      <c r="G679" s="13">
        <f t="shared" si="61"/>
        <v>45349</v>
      </c>
      <c r="H679" s="12" t="s">
        <v>23</v>
      </c>
      <c r="I679" s="1" t="s">
        <v>29</v>
      </c>
      <c r="J679" s="1" t="s">
        <v>14</v>
      </c>
      <c r="K679" s="1" t="s">
        <v>15</v>
      </c>
      <c r="L679" s="1" t="s">
        <v>1370</v>
      </c>
      <c r="M679" s="10">
        <v>963.68</v>
      </c>
      <c r="N679" s="8">
        <v>5</v>
      </c>
      <c r="O679" s="6">
        <v>0.25</v>
      </c>
      <c r="P679" s="10">
        <v>704.04</v>
      </c>
      <c r="Q679" s="11">
        <f t="shared" si="62"/>
        <v>259.64</v>
      </c>
      <c r="R679" t="str">
        <f t="shared" si="65"/>
        <v>profit</v>
      </c>
    </row>
    <row r="680" spans="1:18" ht="15.75" customHeight="1" x14ac:dyDescent="0.4">
      <c r="A680" s="1" t="s">
        <v>1371</v>
      </c>
      <c r="B680" s="2">
        <v>45421</v>
      </c>
      <c r="C680" s="2">
        <v>45425</v>
      </c>
      <c r="D680" s="2" t="str">
        <f t="shared" si="63"/>
        <v>2024</v>
      </c>
      <c r="E680" s="2" t="str">
        <f t="shared" si="60"/>
        <v>May</v>
      </c>
      <c r="F680" s="2" t="str">
        <f t="shared" si="64"/>
        <v>Q2</v>
      </c>
      <c r="G680" s="13">
        <f t="shared" si="61"/>
        <v>4</v>
      </c>
      <c r="H680" s="12" t="s">
        <v>42</v>
      </c>
      <c r="I680" s="1" t="s">
        <v>29</v>
      </c>
      <c r="J680" s="1" t="s">
        <v>14</v>
      </c>
      <c r="K680" s="1" t="s">
        <v>15</v>
      </c>
      <c r="L680" s="1" t="s">
        <v>1372</v>
      </c>
      <c r="M680" s="10">
        <v>861.39</v>
      </c>
      <c r="N680" s="8">
        <v>4</v>
      </c>
      <c r="O680" s="6">
        <v>0.46</v>
      </c>
      <c r="P680" s="10">
        <v>441.92</v>
      </c>
      <c r="Q680" s="11">
        <f t="shared" si="62"/>
        <v>419.46999999999997</v>
      </c>
      <c r="R680" t="str">
        <f t="shared" si="65"/>
        <v>profit</v>
      </c>
    </row>
    <row r="681" spans="1:18" ht="15.75" customHeight="1" x14ac:dyDescent="0.4">
      <c r="A681" s="1" t="s">
        <v>1373</v>
      </c>
      <c r="B681" s="2">
        <v>45219</v>
      </c>
      <c r="C681" s="2">
        <v>45219</v>
      </c>
      <c r="D681" s="2" t="str">
        <f t="shared" si="63"/>
        <v>2023</v>
      </c>
      <c r="E681" s="2" t="str">
        <f t="shared" si="60"/>
        <v>October</v>
      </c>
      <c r="F681" s="2" t="str">
        <f t="shared" si="64"/>
        <v>Q4</v>
      </c>
      <c r="G681" s="13">
        <f t="shared" si="61"/>
        <v>0</v>
      </c>
      <c r="H681" s="12" t="s">
        <v>42</v>
      </c>
      <c r="I681" s="1" t="s">
        <v>46</v>
      </c>
      <c r="J681" s="1" t="s">
        <v>25</v>
      </c>
      <c r="K681" s="1" t="s">
        <v>43</v>
      </c>
      <c r="L681" s="1" t="s">
        <v>1374</v>
      </c>
      <c r="M681" s="10">
        <v>456</v>
      </c>
      <c r="N681" s="8">
        <v>7</v>
      </c>
      <c r="O681" s="6">
        <v>0.43</v>
      </c>
      <c r="P681" s="10">
        <v>242.94</v>
      </c>
      <c r="Q681" s="11">
        <f t="shared" si="62"/>
        <v>213.06</v>
      </c>
      <c r="R681" t="str">
        <f t="shared" si="65"/>
        <v>profit</v>
      </c>
    </row>
    <row r="682" spans="1:18" ht="15.75" customHeight="1" x14ac:dyDescent="0.4">
      <c r="A682" s="1" t="s">
        <v>1375</v>
      </c>
      <c r="C682" s="2">
        <v>44901</v>
      </c>
      <c r="D682" s="2" t="str">
        <f t="shared" si="63"/>
        <v/>
      </c>
      <c r="E682" s="2" t="str">
        <f t="shared" si="60"/>
        <v>December</v>
      </c>
      <c r="F682" s="2" t="str">
        <f t="shared" si="64"/>
        <v>Q4</v>
      </c>
      <c r="G682" s="13">
        <f t="shared" si="61"/>
        <v>44901</v>
      </c>
      <c r="H682" s="12" t="s">
        <v>1988</v>
      </c>
      <c r="I682" s="1" t="s">
        <v>46</v>
      </c>
      <c r="J682" s="1" t="s">
        <v>25</v>
      </c>
      <c r="K682" s="1" t="s">
        <v>47</v>
      </c>
      <c r="L682" s="1" t="s">
        <v>1376</v>
      </c>
      <c r="M682" s="11" t="s">
        <v>1989</v>
      </c>
      <c r="N682" s="8">
        <v>7</v>
      </c>
      <c r="O682" s="6">
        <v>0.47</v>
      </c>
      <c r="P682" s="10">
        <v>79.459999999999994</v>
      </c>
      <c r="Q682" s="11" t="e">
        <f t="shared" si="62"/>
        <v>#VALUE!</v>
      </c>
      <c r="R682" t="str">
        <f t="shared" si="65"/>
        <v>profit</v>
      </c>
    </row>
    <row r="683" spans="1:18" ht="15.75" customHeight="1" x14ac:dyDescent="0.4">
      <c r="A683" s="1" t="s">
        <v>1377</v>
      </c>
      <c r="B683" s="2">
        <v>44935</v>
      </c>
      <c r="C683" s="2">
        <v>44937</v>
      </c>
      <c r="D683" s="2" t="str">
        <f t="shared" si="63"/>
        <v>2023</v>
      </c>
      <c r="E683" s="2" t="str">
        <f t="shared" si="60"/>
        <v>January</v>
      </c>
      <c r="F683" s="2" t="str">
        <f t="shared" si="64"/>
        <v>Q1</v>
      </c>
      <c r="G683" s="13">
        <f t="shared" si="61"/>
        <v>2</v>
      </c>
      <c r="H683" s="12" t="s">
        <v>23</v>
      </c>
      <c r="I683" s="1" t="s">
        <v>50</v>
      </c>
      <c r="J683" s="1" t="s">
        <v>25</v>
      </c>
      <c r="K683" s="1" t="s">
        <v>26</v>
      </c>
      <c r="L683" s="1" t="s">
        <v>1378</v>
      </c>
      <c r="M683" s="10">
        <v>462.11</v>
      </c>
      <c r="N683" s="8">
        <v>8</v>
      </c>
      <c r="O683" s="6">
        <v>0.4</v>
      </c>
      <c r="P683" s="10">
        <v>258.58999999999997</v>
      </c>
      <c r="Q683" s="11">
        <f t="shared" si="62"/>
        <v>203.52000000000004</v>
      </c>
      <c r="R683" t="str">
        <f t="shared" si="65"/>
        <v>profit</v>
      </c>
    </row>
    <row r="684" spans="1:18" ht="15.75" customHeight="1" x14ac:dyDescent="0.4">
      <c r="A684" s="1" t="s">
        <v>1379</v>
      </c>
      <c r="B684" s="2">
        <v>45594</v>
      </c>
      <c r="C684" s="2">
        <v>45596</v>
      </c>
      <c r="D684" s="2" t="str">
        <f t="shared" si="63"/>
        <v>2024</v>
      </c>
      <c r="E684" s="2" t="str">
        <f t="shared" si="60"/>
        <v>October</v>
      </c>
      <c r="F684" s="2" t="str">
        <f t="shared" si="64"/>
        <v>Q4</v>
      </c>
      <c r="G684" s="13">
        <f t="shared" si="61"/>
        <v>2</v>
      </c>
      <c r="H684" s="12" t="s">
        <v>1986</v>
      </c>
      <c r="I684" s="1" t="s">
        <v>53</v>
      </c>
      <c r="J684" s="1" t="s">
        <v>14</v>
      </c>
      <c r="K684" s="1" t="s">
        <v>54</v>
      </c>
      <c r="L684" s="1" t="s">
        <v>1380</v>
      </c>
      <c r="M684" s="10">
        <v>196.4</v>
      </c>
      <c r="N684" s="8">
        <v>2</v>
      </c>
      <c r="O684" s="6">
        <v>0.41</v>
      </c>
      <c r="P684" s="10">
        <v>89.42</v>
      </c>
      <c r="Q684" s="11">
        <f t="shared" si="62"/>
        <v>106.98</v>
      </c>
      <c r="R684" t="str">
        <f t="shared" si="65"/>
        <v>profit</v>
      </c>
    </row>
    <row r="685" spans="1:18" ht="15.75" customHeight="1" x14ac:dyDescent="0.4">
      <c r="A685" s="1" t="s">
        <v>1381</v>
      </c>
      <c r="B685" s="2">
        <v>45325</v>
      </c>
      <c r="C685" s="2">
        <v>45330</v>
      </c>
      <c r="D685" s="2" t="str">
        <f t="shared" si="63"/>
        <v>2024</v>
      </c>
      <c r="E685" s="2" t="str">
        <f t="shared" si="60"/>
        <v>February</v>
      </c>
      <c r="F685" s="2" t="str">
        <f t="shared" si="64"/>
        <v>Q1</v>
      </c>
      <c r="G685" s="13">
        <f t="shared" si="61"/>
        <v>5</v>
      </c>
      <c r="H685" s="12" t="s">
        <v>1986</v>
      </c>
      <c r="I685" s="1" t="s">
        <v>59</v>
      </c>
      <c r="J685" s="1" t="s">
        <v>14</v>
      </c>
      <c r="K685" s="1" t="s">
        <v>30</v>
      </c>
      <c r="L685" s="1" t="s">
        <v>1382</v>
      </c>
      <c r="M685" s="10">
        <v>926.47</v>
      </c>
      <c r="N685" s="8">
        <v>7</v>
      </c>
      <c r="O685" s="6">
        <v>0.42</v>
      </c>
      <c r="P685" s="10">
        <v>511.43</v>
      </c>
      <c r="Q685" s="11">
        <f t="shared" si="62"/>
        <v>415.04</v>
      </c>
      <c r="R685" t="str">
        <f t="shared" si="65"/>
        <v>profit</v>
      </c>
    </row>
    <row r="686" spans="1:18" ht="15.75" customHeight="1" x14ac:dyDescent="0.4">
      <c r="A686" s="1" t="s">
        <v>1383</v>
      </c>
      <c r="B686" s="2">
        <v>45397</v>
      </c>
      <c r="C686" s="2">
        <v>45401</v>
      </c>
      <c r="D686" s="2" t="str">
        <f t="shared" si="63"/>
        <v>2024</v>
      </c>
      <c r="E686" s="2" t="str">
        <f t="shared" si="60"/>
        <v>April</v>
      </c>
      <c r="F686" s="2" t="str">
        <f t="shared" si="64"/>
        <v>Q2</v>
      </c>
      <c r="G686" s="13">
        <f t="shared" si="61"/>
        <v>4</v>
      </c>
      <c r="H686" s="12" t="s">
        <v>23</v>
      </c>
      <c r="I686" s="1" t="s">
        <v>53</v>
      </c>
      <c r="J686" s="1" t="s">
        <v>25</v>
      </c>
      <c r="K686" s="1" t="s">
        <v>26</v>
      </c>
      <c r="L686" s="1" t="s">
        <v>1384</v>
      </c>
      <c r="M686" s="10">
        <v>273.49</v>
      </c>
      <c r="N686" s="8">
        <v>2</v>
      </c>
      <c r="O686" s="6">
        <v>0.48</v>
      </c>
      <c r="P686" s="10">
        <v>118.8</v>
      </c>
      <c r="Q686" s="11">
        <f t="shared" si="62"/>
        <v>154.69</v>
      </c>
      <c r="R686" t="str">
        <f t="shared" si="65"/>
        <v>profit</v>
      </c>
    </row>
    <row r="687" spans="1:18" ht="15.75" customHeight="1" x14ac:dyDescent="0.4">
      <c r="A687" s="1" t="s">
        <v>1385</v>
      </c>
      <c r="B687" s="2">
        <v>45385</v>
      </c>
      <c r="C687" s="2">
        <v>45389</v>
      </c>
      <c r="D687" s="2" t="str">
        <f t="shared" si="63"/>
        <v>2024</v>
      </c>
      <c r="E687" s="2" t="str">
        <f t="shared" si="60"/>
        <v>April</v>
      </c>
      <c r="F687" s="2" t="str">
        <f t="shared" si="64"/>
        <v>Q2</v>
      </c>
      <c r="G687" s="13">
        <f t="shared" si="61"/>
        <v>4</v>
      </c>
      <c r="H687" s="12" t="s">
        <v>42</v>
      </c>
      <c r="I687" s="1" t="s">
        <v>59</v>
      </c>
      <c r="J687" s="1" t="s">
        <v>19</v>
      </c>
      <c r="K687" s="1" t="s">
        <v>20</v>
      </c>
      <c r="L687" s="1" t="s">
        <v>1386</v>
      </c>
      <c r="M687" s="10">
        <v>488.86</v>
      </c>
      <c r="N687" s="8">
        <v>8</v>
      </c>
      <c r="O687" s="6">
        <v>0.27</v>
      </c>
      <c r="P687" s="10">
        <v>328.88</v>
      </c>
      <c r="Q687" s="11">
        <f t="shared" si="62"/>
        <v>159.98000000000002</v>
      </c>
      <c r="R687" t="str">
        <f t="shared" si="65"/>
        <v>profit</v>
      </c>
    </row>
    <row r="688" spans="1:18" ht="15.75" customHeight="1" x14ac:dyDescent="0.4">
      <c r="A688" s="1" t="s">
        <v>1387</v>
      </c>
      <c r="B688" s="2">
        <v>45103</v>
      </c>
      <c r="C688" s="2">
        <v>45107</v>
      </c>
      <c r="D688" s="2" t="str">
        <f t="shared" si="63"/>
        <v>2023</v>
      </c>
      <c r="E688" s="2" t="str">
        <f t="shared" si="60"/>
        <v>June</v>
      </c>
      <c r="F688" s="2" t="str">
        <f t="shared" si="64"/>
        <v>Q3</v>
      </c>
      <c r="G688" s="13">
        <f t="shared" si="61"/>
        <v>4</v>
      </c>
      <c r="H688" s="12" t="s">
        <v>42</v>
      </c>
      <c r="I688" s="1" t="s">
        <v>53</v>
      </c>
      <c r="J688" s="1" t="s">
        <v>19</v>
      </c>
      <c r="K688" s="1" t="s">
        <v>35</v>
      </c>
      <c r="L688" s="1" t="s">
        <v>1388</v>
      </c>
      <c r="M688" s="10">
        <v>168.23</v>
      </c>
      <c r="N688" s="8">
        <v>9</v>
      </c>
      <c r="O688" s="6">
        <v>0.23</v>
      </c>
      <c r="P688" s="10">
        <v>82.39</v>
      </c>
      <c r="Q688" s="11">
        <f t="shared" si="62"/>
        <v>85.839999999999989</v>
      </c>
      <c r="R688" t="str">
        <f t="shared" si="65"/>
        <v>profit</v>
      </c>
    </row>
    <row r="689" spans="1:18" ht="15.75" customHeight="1" x14ac:dyDescent="0.4">
      <c r="A689" s="1" t="s">
        <v>1389</v>
      </c>
      <c r="B689" s="2">
        <v>44912</v>
      </c>
      <c r="C689" s="2">
        <v>44917</v>
      </c>
      <c r="D689" s="2" t="str">
        <f t="shared" si="63"/>
        <v>2022</v>
      </c>
      <c r="E689" s="2" t="str">
        <f t="shared" si="60"/>
        <v>December</v>
      </c>
      <c r="F689" s="2" t="str">
        <f t="shared" si="64"/>
        <v>Q4</v>
      </c>
      <c r="G689" s="13">
        <f t="shared" si="61"/>
        <v>5</v>
      </c>
      <c r="H689" s="12" t="s">
        <v>23</v>
      </c>
      <c r="I689" s="1" t="s">
        <v>50</v>
      </c>
      <c r="J689" s="1" t="s">
        <v>14</v>
      </c>
      <c r="K689" s="1" t="s">
        <v>30</v>
      </c>
      <c r="L689" s="1" t="s">
        <v>1390</v>
      </c>
      <c r="M689" s="10">
        <v>928.68</v>
      </c>
      <c r="N689" s="8">
        <v>1</v>
      </c>
      <c r="O689" s="6">
        <v>0.12</v>
      </c>
      <c r="P689" s="10">
        <v>790.39</v>
      </c>
      <c r="Q689" s="11">
        <f t="shared" si="62"/>
        <v>138.28999999999996</v>
      </c>
      <c r="R689" t="str">
        <f t="shared" si="65"/>
        <v>profit</v>
      </c>
    </row>
    <row r="690" spans="1:18" ht="15.75" customHeight="1" x14ac:dyDescent="0.4">
      <c r="A690" s="1" t="s">
        <v>1391</v>
      </c>
      <c r="B690" s="2">
        <v>45030</v>
      </c>
      <c r="C690" s="2">
        <v>45039</v>
      </c>
      <c r="D690" s="2" t="str">
        <f t="shared" si="63"/>
        <v>2023</v>
      </c>
      <c r="E690" s="2" t="str">
        <f t="shared" si="60"/>
        <v>April</v>
      </c>
      <c r="F690" s="2" t="str">
        <f t="shared" si="64"/>
        <v>Q2</v>
      </c>
      <c r="G690" s="13">
        <f t="shared" si="61"/>
        <v>9</v>
      </c>
      <c r="H690" s="12" t="s">
        <v>1987</v>
      </c>
      <c r="I690" s="1" t="s">
        <v>13</v>
      </c>
      <c r="J690" s="1" t="s">
        <v>19</v>
      </c>
      <c r="K690" s="1" t="s">
        <v>35</v>
      </c>
      <c r="L690" s="1" t="s">
        <v>1392</v>
      </c>
      <c r="M690" s="10">
        <v>287.95</v>
      </c>
      <c r="N690" s="8">
        <v>7</v>
      </c>
      <c r="O690" s="6">
        <v>0.03</v>
      </c>
      <c r="P690" s="10">
        <v>248.29</v>
      </c>
      <c r="Q690" s="11">
        <f t="shared" si="62"/>
        <v>39.659999999999997</v>
      </c>
      <c r="R690" t="str">
        <f t="shared" si="65"/>
        <v>profit</v>
      </c>
    </row>
    <row r="691" spans="1:18" ht="15.75" customHeight="1" x14ac:dyDescent="0.4">
      <c r="A691" s="1" t="s">
        <v>1393</v>
      </c>
      <c r="B691" s="2">
        <v>45449</v>
      </c>
      <c r="C691" s="2">
        <v>45450</v>
      </c>
      <c r="D691" s="2" t="str">
        <f t="shared" si="63"/>
        <v>2024</v>
      </c>
      <c r="E691" s="2" t="str">
        <f t="shared" si="60"/>
        <v>June</v>
      </c>
      <c r="F691" s="2" t="str">
        <f t="shared" si="64"/>
        <v>Q3</v>
      </c>
      <c r="G691" s="13">
        <f t="shared" si="61"/>
        <v>1</v>
      </c>
      <c r="H691" s="12" t="s">
        <v>42</v>
      </c>
      <c r="I691" s="1" t="s">
        <v>13</v>
      </c>
      <c r="J691" s="1" t="s">
        <v>14</v>
      </c>
      <c r="K691" s="1" t="s">
        <v>54</v>
      </c>
      <c r="L691" s="1" t="s">
        <v>1394</v>
      </c>
      <c r="M691" s="10">
        <v>162.08000000000001</v>
      </c>
      <c r="N691" s="8">
        <v>5</v>
      </c>
      <c r="O691" s="6">
        <v>0.19</v>
      </c>
      <c r="P691" s="10">
        <v>118.2</v>
      </c>
      <c r="Q691" s="11">
        <f t="shared" si="62"/>
        <v>43.88000000000001</v>
      </c>
      <c r="R691" t="str">
        <f t="shared" si="65"/>
        <v>profit</v>
      </c>
    </row>
    <row r="692" spans="1:18" ht="15.75" customHeight="1" x14ac:dyDescent="0.4">
      <c r="A692" s="1" t="s">
        <v>1395</v>
      </c>
      <c r="B692" s="2">
        <v>45292</v>
      </c>
      <c r="C692" s="2">
        <v>45297</v>
      </c>
      <c r="D692" s="2" t="str">
        <f t="shared" si="63"/>
        <v>2024</v>
      </c>
      <c r="E692" s="2" t="str">
        <f t="shared" si="60"/>
        <v>January</v>
      </c>
      <c r="F692" s="2" t="str">
        <f t="shared" si="64"/>
        <v>Q1</v>
      </c>
      <c r="G692" s="13">
        <f t="shared" si="61"/>
        <v>5</v>
      </c>
      <c r="H692" s="12" t="s">
        <v>23</v>
      </c>
      <c r="I692" s="1" t="s">
        <v>50</v>
      </c>
      <c r="J692" s="1" t="s">
        <v>25</v>
      </c>
      <c r="K692" s="1" t="s">
        <v>26</v>
      </c>
      <c r="L692" s="1" t="s">
        <v>1396</v>
      </c>
      <c r="M692" s="10">
        <v>615.35</v>
      </c>
      <c r="N692" s="8">
        <v>9</v>
      </c>
      <c r="O692" s="6">
        <v>0.13</v>
      </c>
      <c r="P692" s="10">
        <v>520.69000000000005</v>
      </c>
      <c r="Q692" s="11">
        <f t="shared" si="62"/>
        <v>94.659999999999968</v>
      </c>
      <c r="R692" t="str">
        <f t="shared" si="65"/>
        <v>profit</v>
      </c>
    </row>
    <row r="693" spans="1:18" ht="15.75" customHeight="1" x14ac:dyDescent="0.4">
      <c r="A693" s="1" t="s">
        <v>1397</v>
      </c>
      <c r="B693" s="2">
        <v>45036</v>
      </c>
      <c r="C693" s="2">
        <v>45037</v>
      </c>
      <c r="D693" s="2" t="str">
        <f t="shared" si="63"/>
        <v>2023</v>
      </c>
      <c r="E693" s="2" t="str">
        <f t="shared" si="60"/>
        <v>April</v>
      </c>
      <c r="F693" s="2" t="str">
        <f t="shared" si="64"/>
        <v>Q2</v>
      </c>
      <c r="G693" s="13">
        <f t="shared" si="61"/>
        <v>1</v>
      </c>
      <c r="H693" s="12" t="s">
        <v>23</v>
      </c>
      <c r="I693" s="1" t="s">
        <v>46</v>
      </c>
      <c r="J693" s="1" t="s">
        <v>14</v>
      </c>
      <c r="K693" s="1" t="s">
        <v>54</v>
      </c>
      <c r="L693" s="1" t="s">
        <v>1398</v>
      </c>
      <c r="M693" s="10">
        <v>481.85</v>
      </c>
      <c r="N693" s="8">
        <v>1</v>
      </c>
      <c r="O693" s="6">
        <v>0.19</v>
      </c>
      <c r="P693" s="10">
        <v>340.79</v>
      </c>
      <c r="Q693" s="11">
        <f t="shared" si="62"/>
        <v>141.06</v>
      </c>
      <c r="R693" t="str">
        <f t="shared" si="65"/>
        <v>profit</v>
      </c>
    </row>
    <row r="694" spans="1:18" ht="15.75" customHeight="1" x14ac:dyDescent="0.4">
      <c r="A694" s="1" t="s">
        <v>1399</v>
      </c>
      <c r="B694" s="2">
        <v>45229</v>
      </c>
      <c r="C694" s="2">
        <v>45232</v>
      </c>
      <c r="D694" s="2" t="str">
        <f t="shared" si="63"/>
        <v>2023</v>
      </c>
      <c r="E694" s="2" t="str">
        <f t="shared" si="60"/>
        <v>November</v>
      </c>
      <c r="F694" s="2" t="str">
        <f t="shared" si="64"/>
        <v>Q4</v>
      </c>
      <c r="G694" s="13">
        <f t="shared" si="61"/>
        <v>3</v>
      </c>
      <c r="H694" s="12" t="s">
        <v>23</v>
      </c>
      <c r="I694" s="1" t="s">
        <v>46</v>
      </c>
      <c r="J694" s="1" t="s">
        <v>14</v>
      </c>
      <c r="K694" s="1" t="s">
        <v>15</v>
      </c>
      <c r="L694" s="1" t="s">
        <v>1400</v>
      </c>
      <c r="M694" s="10">
        <v>380.09</v>
      </c>
      <c r="N694" s="8">
        <v>1</v>
      </c>
      <c r="O694" s="6">
        <v>0.1</v>
      </c>
      <c r="P694" s="10">
        <v>302.89999999999998</v>
      </c>
      <c r="Q694" s="11">
        <f t="shared" si="62"/>
        <v>77.19</v>
      </c>
      <c r="R694" t="str">
        <f t="shared" si="65"/>
        <v>profit</v>
      </c>
    </row>
    <row r="695" spans="1:18" ht="15.75" customHeight="1" x14ac:dyDescent="0.4">
      <c r="A695" s="1" t="s">
        <v>1401</v>
      </c>
      <c r="B695" s="2">
        <v>45004</v>
      </c>
      <c r="C695" s="2">
        <v>45010</v>
      </c>
      <c r="D695" s="2" t="str">
        <f t="shared" si="63"/>
        <v>2023</v>
      </c>
      <c r="E695" s="2" t="str">
        <f t="shared" si="60"/>
        <v>March</v>
      </c>
      <c r="F695" s="2" t="str">
        <f t="shared" si="64"/>
        <v>Q2</v>
      </c>
      <c r="G695" s="13">
        <f t="shared" si="61"/>
        <v>6</v>
      </c>
      <c r="H695" s="12" t="s">
        <v>1987</v>
      </c>
      <c r="I695" s="1" t="s">
        <v>46</v>
      </c>
      <c r="J695" s="1" t="s">
        <v>14</v>
      </c>
      <c r="K695" s="1" t="s">
        <v>54</v>
      </c>
      <c r="L695" s="1" t="s">
        <v>1402</v>
      </c>
      <c r="M695" s="10">
        <v>518.99</v>
      </c>
      <c r="N695" s="8">
        <v>3</v>
      </c>
      <c r="O695" s="6">
        <v>0.27</v>
      </c>
      <c r="P695" s="10">
        <v>345.78</v>
      </c>
      <c r="Q695" s="11">
        <f t="shared" si="62"/>
        <v>173.21000000000004</v>
      </c>
      <c r="R695" t="str">
        <f t="shared" si="65"/>
        <v>profit</v>
      </c>
    </row>
    <row r="696" spans="1:18" ht="15.75" customHeight="1" x14ac:dyDescent="0.4">
      <c r="A696" s="1" t="s">
        <v>1403</v>
      </c>
      <c r="B696" s="2">
        <v>45275</v>
      </c>
      <c r="C696" s="2">
        <v>45283</v>
      </c>
      <c r="D696" s="2" t="str">
        <f t="shared" si="63"/>
        <v>2023</v>
      </c>
      <c r="E696" s="2" t="str">
        <f t="shared" si="60"/>
        <v>December</v>
      </c>
      <c r="F696" s="2" t="str">
        <f t="shared" si="64"/>
        <v>Q4</v>
      </c>
      <c r="G696" s="13">
        <f t="shared" si="61"/>
        <v>8</v>
      </c>
      <c r="H696" s="12" t="s">
        <v>42</v>
      </c>
      <c r="I696" s="1" t="s">
        <v>24</v>
      </c>
      <c r="J696" s="1" t="s">
        <v>19</v>
      </c>
      <c r="K696" s="1" t="s">
        <v>20</v>
      </c>
      <c r="L696" s="1" t="s">
        <v>1404</v>
      </c>
      <c r="M696" s="10">
        <v>693.84</v>
      </c>
      <c r="N696" s="8">
        <v>8</v>
      </c>
      <c r="O696" s="6">
        <v>0.25</v>
      </c>
      <c r="P696" s="10">
        <v>488.8</v>
      </c>
      <c r="Q696" s="11">
        <f t="shared" si="62"/>
        <v>205.04000000000002</v>
      </c>
      <c r="R696" t="str">
        <f t="shared" si="65"/>
        <v>profit</v>
      </c>
    </row>
    <row r="697" spans="1:18" ht="15.75" customHeight="1" x14ac:dyDescent="0.4">
      <c r="A697" s="1" t="s">
        <v>1405</v>
      </c>
      <c r="B697" s="2">
        <v>45350</v>
      </c>
      <c r="C697" s="2">
        <v>45354</v>
      </c>
      <c r="D697" s="2" t="str">
        <f t="shared" si="63"/>
        <v>2024</v>
      </c>
      <c r="E697" s="2" t="str">
        <f t="shared" si="60"/>
        <v>March</v>
      </c>
      <c r="F697" s="2" t="str">
        <f t="shared" si="64"/>
        <v>Q2</v>
      </c>
      <c r="G697" s="13">
        <f t="shared" si="61"/>
        <v>4</v>
      </c>
      <c r="H697" s="12" t="s">
        <v>1986</v>
      </c>
      <c r="I697" s="1" t="s">
        <v>46</v>
      </c>
      <c r="J697" s="1" t="s">
        <v>19</v>
      </c>
      <c r="K697" s="1" t="s">
        <v>35</v>
      </c>
      <c r="L697" s="1" t="s">
        <v>1406</v>
      </c>
      <c r="M697" s="10">
        <v>281.01</v>
      </c>
      <c r="N697" s="8">
        <v>9</v>
      </c>
      <c r="O697" s="6">
        <v>0.18</v>
      </c>
      <c r="P697" s="10">
        <v>190.99</v>
      </c>
      <c r="Q697" s="11">
        <f t="shared" si="62"/>
        <v>90.019999999999982</v>
      </c>
      <c r="R697" t="str">
        <f t="shared" si="65"/>
        <v>profit</v>
      </c>
    </row>
    <row r="698" spans="1:18" ht="15.75" customHeight="1" x14ac:dyDescent="0.4">
      <c r="A698" s="1" t="s">
        <v>1407</v>
      </c>
      <c r="B698" s="2">
        <v>45197</v>
      </c>
      <c r="C698" s="2">
        <v>45197</v>
      </c>
      <c r="D698" s="2" t="str">
        <f t="shared" si="63"/>
        <v>2023</v>
      </c>
      <c r="E698" s="2" t="str">
        <f t="shared" si="60"/>
        <v>September</v>
      </c>
      <c r="F698" s="2" t="str">
        <f t="shared" si="64"/>
        <v>Q4</v>
      </c>
      <c r="G698" s="13">
        <f t="shared" si="61"/>
        <v>0</v>
      </c>
      <c r="H698" s="12" t="s">
        <v>42</v>
      </c>
      <c r="I698" s="1" t="s">
        <v>13</v>
      </c>
      <c r="J698" s="1" t="s">
        <v>25</v>
      </c>
      <c r="K698" s="1" t="s">
        <v>26</v>
      </c>
      <c r="L698" s="1" t="s">
        <v>1408</v>
      </c>
      <c r="M698" s="10">
        <v>713.56</v>
      </c>
      <c r="N698" s="8">
        <v>9</v>
      </c>
      <c r="O698" s="6">
        <v>0.5</v>
      </c>
      <c r="P698" s="10">
        <v>339.94</v>
      </c>
      <c r="Q698" s="11">
        <f t="shared" si="62"/>
        <v>373.61999999999995</v>
      </c>
      <c r="R698" t="str">
        <f t="shared" si="65"/>
        <v>profit</v>
      </c>
    </row>
    <row r="699" spans="1:18" ht="15.75" customHeight="1" x14ac:dyDescent="0.4">
      <c r="A699" s="1" t="s">
        <v>1409</v>
      </c>
      <c r="B699" s="2">
        <v>44958</v>
      </c>
      <c r="C699" s="2">
        <v>44958</v>
      </c>
      <c r="D699" s="2" t="str">
        <f t="shared" si="63"/>
        <v>2023</v>
      </c>
      <c r="E699" s="2" t="str">
        <f t="shared" si="60"/>
        <v>February</v>
      </c>
      <c r="F699" s="2" t="str">
        <f t="shared" si="64"/>
        <v>Q1</v>
      </c>
      <c r="G699" s="13">
        <f t="shared" si="61"/>
        <v>0</v>
      </c>
      <c r="H699" s="12" t="s">
        <v>1987</v>
      </c>
      <c r="I699" s="1" t="s">
        <v>46</v>
      </c>
      <c r="J699" s="1" t="s">
        <v>19</v>
      </c>
      <c r="K699" s="1" t="s">
        <v>20</v>
      </c>
      <c r="L699" s="1" t="s">
        <v>1410</v>
      </c>
      <c r="M699" s="10">
        <v>99.37</v>
      </c>
      <c r="N699" s="8">
        <v>7</v>
      </c>
      <c r="O699" s="6">
        <v>0.01</v>
      </c>
      <c r="P699" s="10">
        <v>60.2</v>
      </c>
      <c r="Q699" s="11">
        <f t="shared" si="62"/>
        <v>39.17</v>
      </c>
      <c r="R699" t="str">
        <f t="shared" si="65"/>
        <v>profit</v>
      </c>
    </row>
    <row r="700" spans="1:18" ht="15.75" customHeight="1" x14ac:dyDescent="0.4">
      <c r="A700" s="1" t="s">
        <v>1411</v>
      </c>
      <c r="B700" s="2">
        <v>45245</v>
      </c>
      <c r="C700" s="2">
        <v>45250</v>
      </c>
      <c r="D700" s="2" t="str">
        <f t="shared" si="63"/>
        <v>2023</v>
      </c>
      <c r="E700" s="2" t="str">
        <f t="shared" si="60"/>
        <v>November</v>
      </c>
      <c r="F700" s="2" t="str">
        <f t="shared" si="64"/>
        <v>Q4</v>
      </c>
      <c r="G700" s="13">
        <f t="shared" si="61"/>
        <v>5</v>
      </c>
      <c r="H700" s="12" t="s">
        <v>1986</v>
      </c>
      <c r="I700" s="1" t="s">
        <v>59</v>
      </c>
      <c r="J700" s="1" t="s">
        <v>14</v>
      </c>
      <c r="K700" s="1" t="s">
        <v>15</v>
      </c>
      <c r="L700" s="1" t="s">
        <v>149</v>
      </c>
      <c r="M700" s="10">
        <v>797.22</v>
      </c>
      <c r="N700" s="8">
        <v>7</v>
      </c>
      <c r="O700" s="6">
        <v>0.44</v>
      </c>
      <c r="P700" s="10">
        <v>429.17</v>
      </c>
      <c r="Q700" s="11">
        <f t="shared" si="62"/>
        <v>368.05</v>
      </c>
      <c r="R700" t="str">
        <f t="shared" si="65"/>
        <v>profit</v>
      </c>
    </row>
    <row r="701" spans="1:18" ht="15.75" customHeight="1" x14ac:dyDescent="0.4">
      <c r="A701" s="1" t="s">
        <v>1412</v>
      </c>
      <c r="B701" s="2">
        <v>45535</v>
      </c>
      <c r="C701" s="2">
        <v>45536</v>
      </c>
      <c r="D701" s="2" t="str">
        <f t="shared" si="63"/>
        <v>2024</v>
      </c>
      <c r="E701" s="2" t="str">
        <f t="shared" si="60"/>
        <v>September</v>
      </c>
      <c r="F701" s="2" t="str">
        <f t="shared" si="64"/>
        <v>Q4</v>
      </c>
      <c r="G701" s="13">
        <f t="shared" si="61"/>
        <v>1</v>
      </c>
      <c r="H701" s="12" t="s">
        <v>1987</v>
      </c>
      <c r="I701" s="1" t="s">
        <v>59</v>
      </c>
      <c r="J701" s="1" t="s">
        <v>25</v>
      </c>
      <c r="K701" s="1" t="s">
        <v>43</v>
      </c>
      <c r="L701" s="1" t="s">
        <v>1413</v>
      </c>
      <c r="M701" s="10">
        <v>85.54</v>
      </c>
      <c r="N701" s="8">
        <v>6</v>
      </c>
      <c r="O701" s="6">
        <v>0.34</v>
      </c>
      <c r="P701" s="10">
        <v>6.9</v>
      </c>
      <c r="Q701" s="11">
        <f t="shared" si="62"/>
        <v>78.64</v>
      </c>
      <c r="R701" t="str">
        <f t="shared" si="65"/>
        <v>profit</v>
      </c>
    </row>
    <row r="702" spans="1:18" ht="15.75" customHeight="1" x14ac:dyDescent="0.4">
      <c r="A702" s="1" t="s">
        <v>1414</v>
      </c>
      <c r="B702" s="2">
        <v>45512</v>
      </c>
      <c r="C702" s="2">
        <v>45515</v>
      </c>
      <c r="D702" s="2" t="str">
        <f t="shared" si="63"/>
        <v>2024</v>
      </c>
      <c r="E702" s="2" t="str">
        <f t="shared" si="60"/>
        <v>August</v>
      </c>
      <c r="F702" s="2" t="str">
        <f t="shared" si="64"/>
        <v>Q3</v>
      </c>
      <c r="G702" s="13">
        <f t="shared" si="61"/>
        <v>3</v>
      </c>
      <c r="H702" s="12" t="s">
        <v>1987</v>
      </c>
      <c r="I702" s="1" t="s">
        <v>29</v>
      </c>
      <c r="J702" s="1" t="s">
        <v>25</v>
      </c>
      <c r="K702" s="1" t="s">
        <v>47</v>
      </c>
      <c r="L702" s="1" t="s">
        <v>1415</v>
      </c>
      <c r="M702" s="10">
        <v>125.28</v>
      </c>
      <c r="N702" s="8">
        <v>2</v>
      </c>
      <c r="O702" s="6">
        <v>0.39</v>
      </c>
      <c r="P702" s="10">
        <v>50.01</v>
      </c>
      <c r="Q702" s="11">
        <f t="shared" si="62"/>
        <v>75.27000000000001</v>
      </c>
      <c r="R702" t="str">
        <f t="shared" si="65"/>
        <v>profit</v>
      </c>
    </row>
    <row r="703" spans="1:18" ht="15.75" customHeight="1" x14ac:dyDescent="0.4">
      <c r="A703" s="1" t="s">
        <v>1416</v>
      </c>
      <c r="B703" s="2">
        <v>45147</v>
      </c>
      <c r="C703" s="2">
        <v>45151</v>
      </c>
      <c r="D703" s="2" t="str">
        <f t="shared" si="63"/>
        <v>2023</v>
      </c>
      <c r="E703" s="2" t="str">
        <f t="shared" si="60"/>
        <v>August</v>
      </c>
      <c r="F703" s="2" t="str">
        <f t="shared" si="64"/>
        <v>Q3</v>
      </c>
      <c r="G703" s="13">
        <f t="shared" si="61"/>
        <v>4</v>
      </c>
      <c r="H703" s="12" t="s">
        <v>23</v>
      </c>
      <c r="I703" s="1" t="s">
        <v>53</v>
      </c>
      <c r="J703" s="1" t="s">
        <v>19</v>
      </c>
      <c r="K703" s="1" t="s">
        <v>20</v>
      </c>
      <c r="L703" s="1" t="s">
        <v>1417</v>
      </c>
      <c r="M703" s="10">
        <v>245.49</v>
      </c>
      <c r="N703" s="8">
        <v>9</v>
      </c>
      <c r="O703" s="6">
        <v>0.49</v>
      </c>
      <c r="P703" s="10">
        <v>109.1</v>
      </c>
      <c r="Q703" s="11">
        <f t="shared" si="62"/>
        <v>136.39000000000001</v>
      </c>
      <c r="R703" t="str">
        <f t="shared" si="65"/>
        <v>profit</v>
      </c>
    </row>
    <row r="704" spans="1:18" ht="15.75" customHeight="1" x14ac:dyDescent="0.4">
      <c r="A704" s="1" t="s">
        <v>1418</v>
      </c>
      <c r="B704" s="2">
        <v>45500</v>
      </c>
      <c r="C704" s="2">
        <v>45502</v>
      </c>
      <c r="D704" s="2" t="str">
        <f t="shared" si="63"/>
        <v>2024</v>
      </c>
      <c r="E704" s="2" t="str">
        <f t="shared" si="60"/>
        <v>July</v>
      </c>
      <c r="F704" s="2" t="str">
        <f t="shared" si="64"/>
        <v>Q3</v>
      </c>
      <c r="G704" s="13">
        <f t="shared" si="61"/>
        <v>2</v>
      </c>
      <c r="H704" s="12" t="s">
        <v>42</v>
      </c>
      <c r="I704" s="1" t="s">
        <v>18</v>
      </c>
      <c r="J704" s="1" t="s">
        <v>14</v>
      </c>
      <c r="K704" s="1" t="s">
        <v>30</v>
      </c>
      <c r="L704" s="1" t="s">
        <v>1419</v>
      </c>
      <c r="M704" s="10">
        <v>693.19</v>
      </c>
      <c r="N704" s="8">
        <v>5</v>
      </c>
      <c r="O704" s="6">
        <v>0.19</v>
      </c>
      <c r="P704" s="10">
        <v>523.83000000000004</v>
      </c>
      <c r="Q704" s="11">
        <f t="shared" si="62"/>
        <v>169.36</v>
      </c>
      <c r="R704" t="str">
        <f t="shared" si="65"/>
        <v>profit</v>
      </c>
    </row>
    <row r="705" spans="1:18" ht="15.75" customHeight="1" x14ac:dyDescent="0.4">
      <c r="A705" s="1" t="s">
        <v>1420</v>
      </c>
      <c r="B705" s="2">
        <v>45021</v>
      </c>
      <c r="C705" s="2">
        <v>45027</v>
      </c>
      <c r="D705" s="2" t="str">
        <f t="shared" si="63"/>
        <v>2023</v>
      </c>
      <c r="E705" s="2" t="str">
        <f t="shared" si="60"/>
        <v>April</v>
      </c>
      <c r="F705" s="2" t="str">
        <f t="shared" si="64"/>
        <v>Q2</v>
      </c>
      <c r="G705" s="13">
        <f t="shared" si="61"/>
        <v>6</v>
      </c>
      <c r="H705" s="12" t="s">
        <v>1986</v>
      </c>
      <c r="I705" s="1" t="s">
        <v>18</v>
      </c>
      <c r="J705" s="1" t="s">
        <v>19</v>
      </c>
      <c r="K705" s="1" t="s">
        <v>92</v>
      </c>
      <c r="L705" s="1" t="s">
        <v>1421</v>
      </c>
      <c r="M705" s="10">
        <v>640.66999999999996</v>
      </c>
      <c r="N705" s="8">
        <v>10</v>
      </c>
      <c r="O705" s="6">
        <v>0.1</v>
      </c>
      <c r="P705" s="10">
        <v>533.22</v>
      </c>
      <c r="Q705" s="11">
        <f t="shared" si="62"/>
        <v>107.44999999999993</v>
      </c>
      <c r="R705" t="str">
        <f t="shared" si="65"/>
        <v>profit</v>
      </c>
    </row>
    <row r="706" spans="1:18" ht="15.75" customHeight="1" x14ac:dyDescent="0.4">
      <c r="A706" s="1" t="s">
        <v>1422</v>
      </c>
      <c r="B706" s="2">
        <v>45147</v>
      </c>
      <c r="C706" s="2">
        <v>45147</v>
      </c>
      <c r="D706" s="2" t="str">
        <f t="shared" si="63"/>
        <v>2023</v>
      </c>
      <c r="E706" s="2" t="str">
        <f t="shared" ref="E706:E769" si="66">TEXT(C706, "MMMM")</f>
        <v>August</v>
      </c>
      <c r="F706" s="2" t="str">
        <f t="shared" si="64"/>
        <v>Q3</v>
      </c>
      <c r="G706" s="13">
        <f t="shared" ref="G706:G769" si="67">DATEDIF(B706,C706, "D")</f>
        <v>0</v>
      </c>
      <c r="H706" s="12" t="s">
        <v>42</v>
      </c>
      <c r="I706" s="1" t="s">
        <v>18</v>
      </c>
      <c r="J706" s="1" t="s">
        <v>14</v>
      </c>
      <c r="K706" s="1" t="s">
        <v>15</v>
      </c>
      <c r="L706" s="1" t="s">
        <v>1423</v>
      </c>
      <c r="M706" s="10">
        <v>746.84</v>
      </c>
      <c r="N706" s="8">
        <v>4</v>
      </c>
      <c r="O706" s="6">
        <v>0.45</v>
      </c>
      <c r="P706" s="10">
        <v>383.81</v>
      </c>
      <c r="Q706" s="11">
        <f t="shared" ref="Q706:Q769" si="68">M706 - P706</f>
        <v>363.03000000000003</v>
      </c>
      <c r="R706" t="str">
        <f t="shared" si="65"/>
        <v>profit</v>
      </c>
    </row>
    <row r="707" spans="1:18" ht="15.75" customHeight="1" x14ac:dyDescent="0.4">
      <c r="A707" s="1" t="s">
        <v>1424</v>
      </c>
      <c r="B707" s="2">
        <v>45569</v>
      </c>
      <c r="C707" s="2">
        <v>45577</v>
      </c>
      <c r="D707" s="2" t="str">
        <f t="shared" ref="D707:D770" si="69">IF(B707="","",TEXT(B707,"YYYY"))</f>
        <v>2024</v>
      </c>
      <c r="E707" s="2" t="str">
        <f t="shared" si="66"/>
        <v>October</v>
      </c>
      <c r="F707" s="2" t="str">
        <f t="shared" ref="F707:F770" si="70">IF(MONTH(C707)&lt;3,"Q1",IF(MONTH(C707)&lt;6,"Q2",IF(MONTH(C707)&lt;9,"Q3","Q4")))</f>
        <v>Q4</v>
      </c>
      <c r="G707" s="13">
        <f t="shared" si="67"/>
        <v>8</v>
      </c>
      <c r="H707" s="12" t="s">
        <v>42</v>
      </c>
      <c r="I707" s="1" t="s">
        <v>53</v>
      </c>
      <c r="J707" s="1" t="s">
        <v>25</v>
      </c>
      <c r="K707" s="1" t="s">
        <v>47</v>
      </c>
      <c r="L707" s="1" t="s">
        <v>1425</v>
      </c>
      <c r="M707" s="10">
        <v>832.04</v>
      </c>
      <c r="N707" s="8">
        <v>4</v>
      </c>
      <c r="O707" s="6">
        <v>0.42</v>
      </c>
      <c r="P707" s="10">
        <v>449.54</v>
      </c>
      <c r="Q707" s="11">
        <f t="shared" si="68"/>
        <v>382.49999999999994</v>
      </c>
      <c r="R707" t="str">
        <f t="shared" si="65"/>
        <v>profit</v>
      </c>
    </row>
    <row r="708" spans="1:18" ht="15.75" customHeight="1" x14ac:dyDescent="0.4">
      <c r="A708" s="1" t="s">
        <v>1426</v>
      </c>
      <c r="B708" s="2">
        <v>45454</v>
      </c>
      <c r="C708" s="2">
        <v>45463</v>
      </c>
      <c r="D708" s="2" t="str">
        <f t="shared" si="69"/>
        <v>2024</v>
      </c>
      <c r="E708" s="2" t="str">
        <f t="shared" si="66"/>
        <v>June</v>
      </c>
      <c r="F708" s="2" t="str">
        <f t="shared" si="70"/>
        <v>Q3</v>
      </c>
      <c r="G708" s="13">
        <f t="shared" si="67"/>
        <v>9</v>
      </c>
      <c r="H708" s="12" t="s">
        <v>23</v>
      </c>
      <c r="I708" s="1" t="s">
        <v>29</v>
      </c>
      <c r="J708" s="1" t="s">
        <v>14</v>
      </c>
      <c r="K708" s="1" t="s">
        <v>15</v>
      </c>
      <c r="L708" s="1" t="s">
        <v>1427</v>
      </c>
      <c r="M708" s="10">
        <v>367.53</v>
      </c>
      <c r="N708" s="8">
        <v>5</v>
      </c>
      <c r="O708" s="6">
        <v>-0.1</v>
      </c>
      <c r="P708" s="10">
        <v>227.14</v>
      </c>
      <c r="Q708" s="11">
        <f t="shared" si="68"/>
        <v>140.38999999999999</v>
      </c>
      <c r="R708" t="str">
        <f t="shared" ref="R708:R771" si="71">IF(P708&gt;0,"profit","loss")</f>
        <v>profit</v>
      </c>
    </row>
    <row r="709" spans="1:18" ht="15.75" customHeight="1" x14ac:dyDescent="0.4">
      <c r="A709" s="1" t="s">
        <v>1428</v>
      </c>
      <c r="B709" s="2">
        <v>45240</v>
      </c>
      <c r="C709" s="2">
        <v>45245</v>
      </c>
      <c r="D709" s="2" t="str">
        <f t="shared" si="69"/>
        <v>2023</v>
      </c>
      <c r="E709" s="2" t="str">
        <f t="shared" si="66"/>
        <v>November</v>
      </c>
      <c r="F709" s="2" t="str">
        <f t="shared" si="70"/>
        <v>Q4</v>
      </c>
      <c r="G709" s="13">
        <f t="shared" si="67"/>
        <v>5</v>
      </c>
      <c r="H709" s="12" t="s">
        <v>1986</v>
      </c>
      <c r="I709" s="1" t="s">
        <v>59</v>
      </c>
      <c r="J709" s="1" t="s">
        <v>25</v>
      </c>
      <c r="K709" s="1" t="s">
        <v>43</v>
      </c>
      <c r="L709" s="1" t="s">
        <v>1413</v>
      </c>
      <c r="M709" s="10">
        <v>273.23</v>
      </c>
      <c r="N709" s="8">
        <v>2</v>
      </c>
      <c r="O709" s="6">
        <v>0.47</v>
      </c>
      <c r="P709" s="10">
        <v>98.24</v>
      </c>
      <c r="Q709" s="11">
        <f t="shared" si="68"/>
        <v>174.99</v>
      </c>
      <c r="R709" t="str">
        <f t="shared" si="71"/>
        <v>profit</v>
      </c>
    </row>
    <row r="710" spans="1:18" ht="15.75" customHeight="1" x14ac:dyDescent="0.4">
      <c r="A710" s="1" t="s">
        <v>1429</v>
      </c>
      <c r="B710" s="2">
        <v>45185</v>
      </c>
      <c r="C710" s="2">
        <v>45190</v>
      </c>
      <c r="D710" s="2" t="str">
        <f t="shared" si="69"/>
        <v>2023</v>
      </c>
      <c r="E710" s="2" t="str">
        <f t="shared" si="66"/>
        <v>September</v>
      </c>
      <c r="F710" s="2" t="str">
        <f t="shared" si="70"/>
        <v>Q4</v>
      </c>
      <c r="G710" s="13">
        <f t="shared" si="67"/>
        <v>5</v>
      </c>
      <c r="H710" s="12" t="s">
        <v>42</v>
      </c>
      <c r="I710" s="1" t="s">
        <v>29</v>
      </c>
      <c r="J710" s="1" t="s">
        <v>14</v>
      </c>
      <c r="K710" s="1" t="s">
        <v>15</v>
      </c>
      <c r="L710" s="1" t="s">
        <v>1430</v>
      </c>
      <c r="M710" s="10">
        <v>265.64</v>
      </c>
      <c r="N710" s="8">
        <v>2</v>
      </c>
      <c r="O710" s="6">
        <v>0.19</v>
      </c>
      <c r="P710" s="10">
        <v>180.21</v>
      </c>
      <c r="Q710" s="11">
        <f t="shared" si="68"/>
        <v>85.429999999999978</v>
      </c>
      <c r="R710" t="str">
        <f t="shared" si="71"/>
        <v>profit</v>
      </c>
    </row>
    <row r="711" spans="1:18" ht="15.75" customHeight="1" x14ac:dyDescent="0.4">
      <c r="A711" s="1" t="s">
        <v>1431</v>
      </c>
      <c r="B711" s="2">
        <v>45584</v>
      </c>
      <c r="C711" s="2">
        <v>45591</v>
      </c>
      <c r="D711" s="2" t="str">
        <f t="shared" si="69"/>
        <v>2024</v>
      </c>
      <c r="E711" s="2" t="str">
        <f t="shared" si="66"/>
        <v>October</v>
      </c>
      <c r="F711" s="2" t="str">
        <f t="shared" si="70"/>
        <v>Q4</v>
      </c>
      <c r="G711" s="13">
        <f t="shared" si="67"/>
        <v>7</v>
      </c>
      <c r="H711" s="12" t="s">
        <v>1987</v>
      </c>
      <c r="I711" s="1" t="s">
        <v>29</v>
      </c>
      <c r="J711" s="1" t="s">
        <v>25</v>
      </c>
      <c r="K711" s="1" t="s">
        <v>47</v>
      </c>
      <c r="L711" s="1" t="s">
        <v>1432</v>
      </c>
      <c r="M711" s="10">
        <v>385.59</v>
      </c>
      <c r="N711" s="8">
        <v>10</v>
      </c>
      <c r="O711" s="6">
        <v>0.01</v>
      </c>
      <c r="P711" s="10">
        <v>349.98</v>
      </c>
      <c r="Q711" s="11">
        <f t="shared" si="68"/>
        <v>35.609999999999957</v>
      </c>
      <c r="R711" t="str">
        <f t="shared" si="71"/>
        <v>profit</v>
      </c>
    </row>
    <row r="712" spans="1:18" ht="15.75" customHeight="1" x14ac:dyDescent="0.4">
      <c r="A712" s="1" t="s">
        <v>1433</v>
      </c>
      <c r="B712" s="2">
        <v>45399</v>
      </c>
      <c r="C712" s="2">
        <v>45401</v>
      </c>
      <c r="D712" s="2" t="str">
        <f t="shared" si="69"/>
        <v>2024</v>
      </c>
      <c r="E712" s="2" t="str">
        <f t="shared" si="66"/>
        <v>April</v>
      </c>
      <c r="F712" s="2" t="str">
        <f t="shared" si="70"/>
        <v>Q2</v>
      </c>
      <c r="G712" s="13">
        <f t="shared" si="67"/>
        <v>2</v>
      </c>
      <c r="H712" s="12" t="s">
        <v>23</v>
      </c>
      <c r="I712" s="1" t="s">
        <v>13</v>
      </c>
      <c r="J712" s="1" t="s">
        <v>25</v>
      </c>
      <c r="K712" s="1" t="s">
        <v>43</v>
      </c>
      <c r="L712" s="1" t="s">
        <v>1434</v>
      </c>
      <c r="M712" s="10">
        <v>467.6</v>
      </c>
      <c r="N712" s="8">
        <v>10</v>
      </c>
      <c r="O712" s="6">
        <v>0.25</v>
      </c>
      <c r="P712" s="10">
        <v>307.2</v>
      </c>
      <c r="Q712" s="11">
        <f t="shared" si="68"/>
        <v>160.40000000000003</v>
      </c>
      <c r="R712" t="str">
        <f t="shared" si="71"/>
        <v>profit</v>
      </c>
    </row>
    <row r="713" spans="1:18" ht="15.75" customHeight="1" x14ac:dyDescent="0.4">
      <c r="A713" s="1" t="s">
        <v>1435</v>
      </c>
      <c r="B713" s="2">
        <v>45045</v>
      </c>
      <c r="C713" s="2">
        <v>45046</v>
      </c>
      <c r="D713" s="2" t="str">
        <f t="shared" si="69"/>
        <v>2023</v>
      </c>
      <c r="E713" s="2" t="str">
        <f t="shared" si="66"/>
        <v>April</v>
      </c>
      <c r="F713" s="2" t="str">
        <f t="shared" si="70"/>
        <v>Q2</v>
      </c>
      <c r="G713" s="13">
        <f t="shared" si="67"/>
        <v>1</v>
      </c>
      <c r="H713" s="12" t="s">
        <v>1987</v>
      </c>
      <c r="I713" s="1" t="s">
        <v>46</v>
      </c>
      <c r="J713" s="1" t="s">
        <v>14</v>
      </c>
      <c r="K713" s="1" t="s">
        <v>30</v>
      </c>
      <c r="L713" s="1" t="s">
        <v>1436</v>
      </c>
      <c r="M713" s="10">
        <v>24.41</v>
      </c>
      <c r="N713" s="8">
        <v>8</v>
      </c>
      <c r="O713" s="6">
        <v>0.5</v>
      </c>
      <c r="P713" s="10">
        <v>-19</v>
      </c>
      <c r="Q713" s="11">
        <f t="shared" si="68"/>
        <v>43.41</v>
      </c>
      <c r="R713" t="str">
        <f t="shared" si="71"/>
        <v>loss</v>
      </c>
    </row>
    <row r="714" spans="1:18" ht="15.75" customHeight="1" x14ac:dyDescent="0.4">
      <c r="A714" s="1" t="s">
        <v>1437</v>
      </c>
      <c r="B714" s="2">
        <v>45074</v>
      </c>
      <c r="C714" s="2">
        <v>45082</v>
      </c>
      <c r="D714" s="2" t="str">
        <f t="shared" si="69"/>
        <v>2023</v>
      </c>
      <c r="E714" s="2" t="str">
        <f t="shared" si="66"/>
        <v>June</v>
      </c>
      <c r="F714" s="2" t="str">
        <f t="shared" si="70"/>
        <v>Q3</v>
      </c>
      <c r="G714" s="13">
        <f t="shared" si="67"/>
        <v>8</v>
      </c>
      <c r="H714" s="12" t="s">
        <v>42</v>
      </c>
      <c r="I714" s="1" t="s">
        <v>46</v>
      </c>
      <c r="J714" s="1" t="s">
        <v>25</v>
      </c>
      <c r="K714" s="1" t="s">
        <v>47</v>
      </c>
      <c r="L714" s="1" t="s">
        <v>1438</v>
      </c>
      <c r="M714" s="10">
        <v>380.67</v>
      </c>
      <c r="N714" s="8">
        <v>8</v>
      </c>
      <c r="O714" s="6">
        <v>0.01</v>
      </c>
      <c r="P714" s="10">
        <v>359.92</v>
      </c>
      <c r="Q714" s="11">
        <f t="shared" si="68"/>
        <v>20.75</v>
      </c>
      <c r="R714" t="str">
        <f t="shared" si="71"/>
        <v>profit</v>
      </c>
    </row>
    <row r="715" spans="1:18" ht="15.75" customHeight="1" x14ac:dyDescent="0.4">
      <c r="A715" s="1" t="s">
        <v>1439</v>
      </c>
      <c r="B715" s="2">
        <v>45434</v>
      </c>
      <c r="C715" s="2">
        <v>45438</v>
      </c>
      <c r="D715" s="2" t="str">
        <f t="shared" si="69"/>
        <v>2024</v>
      </c>
      <c r="E715" s="2" t="str">
        <f t="shared" si="66"/>
        <v>May</v>
      </c>
      <c r="F715" s="2" t="str">
        <f t="shared" si="70"/>
        <v>Q2</v>
      </c>
      <c r="G715" s="13">
        <f t="shared" si="67"/>
        <v>4</v>
      </c>
      <c r="H715" s="12" t="s">
        <v>42</v>
      </c>
      <c r="I715" s="1" t="s">
        <v>13</v>
      </c>
      <c r="J715" s="1" t="s">
        <v>19</v>
      </c>
      <c r="K715" s="1" t="s">
        <v>35</v>
      </c>
      <c r="L715" s="1" t="s">
        <v>1440</v>
      </c>
      <c r="M715" s="10">
        <v>616.58000000000004</v>
      </c>
      <c r="N715" s="8">
        <v>10</v>
      </c>
      <c r="O715" s="6">
        <v>0.02</v>
      </c>
      <c r="P715" s="10">
        <v>579.72</v>
      </c>
      <c r="Q715" s="11">
        <f t="shared" si="68"/>
        <v>36.860000000000014</v>
      </c>
      <c r="R715" t="str">
        <f t="shared" si="71"/>
        <v>profit</v>
      </c>
    </row>
    <row r="716" spans="1:18" ht="15.75" customHeight="1" x14ac:dyDescent="0.4">
      <c r="A716" s="1" t="s">
        <v>1441</v>
      </c>
      <c r="B716" s="2">
        <v>45472</v>
      </c>
      <c r="C716" s="2">
        <v>45478</v>
      </c>
      <c r="D716" s="2" t="str">
        <f t="shared" si="69"/>
        <v>2024</v>
      </c>
      <c r="E716" s="2" t="str">
        <f t="shared" si="66"/>
        <v>July</v>
      </c>
      <c r="F716" s="2" t="str">
        <f t="shared" si="70"/>
        <v>Q3</v>
      </c>
      <c r="G716" s="13">
        <f t="shared" si="67"/>
        <v>6</v>
      </c>
      <c r="H716" s="12" t="s">
        <v>42</v>
      </c>
      <c r="I716" s="1" t="s">
        <v>13</v>
      </c>
      <c r="J716" s="1" t="s">
        <v>25</v>
      </c>
      <c r="K716" s="1" t="s">
        <v>47</v>
      </c>
      <c r="L716" s="1" t="s">
        <v>1442</v>
      </c>
      <c r="M716" s="10">
        <v>399.11</v>
      </c>
      <c r="N716" s="8">
        <v>3</v>
      </c>
      <c r="O716" s="6">
        <v>0.43</v>
      </c>
      <c r="P716" s="10">
        <v>203.7</v>
      </c>
      <c r="Q716" s="11">
        <f t="shared" si="68"/>
        <v>195.41000000000003</v>
      </c>
      <c r="R716" t="str">
        <f t="shared" si="71"/>
        <v>profit</v>
      </c>
    </row>
    <row r="717" spans="1:18" ht="15.75" customHeight="1" x14ac:dyDescent="0.4">
      <c r="A717" s="1" t="s">
        <v>1443</v>
      </c>
      <c r="B717" s="2">
        <v>45320</v>
      </c>
      <c r="C717" s="2">
        <v>45322</v>
      </c>
      <c r="D717" s="2" t="str">
        <f t="shared" si="69"/>
        <v>2024</v>
      </c>
      <c r="E717" s="2" t="str">
        <f t="shared" si="66"/>
        <v>January</v>
      </c>
      <c r="F717" s="2" t="str">
        <f t="shared" si="70"/>
        <v>Q1</v>
      </c>
      <c r="G717" s="13">
        <f t="shared" si="67"/>
        <v>2</v>
      </c>
      <c r="H717" s="12" t="s">
        <v>1987</v>
      </c>
      <c r="I717" s="1" t="s">
        <v>59</v>
      </c>
      <c r="J717" s="1" t="s">
        <v>19</v>
      </c>
      <c r="K717" s="1" t="s">
        <v>20</v>
      </c>
      <c r="L717" s="1" t="s">
        <v>1444</v>
      </c>
      <c r="M717" s="10">
        <v>802.3</v>
      </c>
      <c r="N717" s="8">
        <v>5</v>
      </c>
      <c r="O717" s="6">
        <v>0.1</v>
      </c>
      <c r="P717" s="10">
        <v>711.89</v>
      </c>
      <c r="Q717" s="11">
        <f t="shared" si="68"/>
        <v>90.409999999999968</v>
      </c>
      <c r="R717" t="str">
        <f t="shared" si="71"/>
        <v>profit</v>
      </c>
    </row>
    <row r="718" spans="1:18" ht="15.75" customHeight="1" x14ac:dyDescent="0.4">
      <c r="A718" s="1" t="s">
        <v>1445</v>
      </c>
      <c r="B718" s="2">
        <v>44901</v>
      </c>
      <c r="C718" s="2">
        <v>44903</v>
      </c>
      <c r="D718" s="2" t="str">
        <f t="shared" si="69"/>
        <v>2022</v>
      </c>
      <c r="E718" s="2" t="str">
        <f t="shared" si="66"/>
        <v>December</v>
      </c>
      <c r="F718" s="2" t="str">
        <f t="shared" si="70"/>
        <v>Q4</v>
      </c>
      <c r="G718" s="13">
        <f t="shared" si="67"/>
        <v>2</v>
      </c>
      <c r="H718" s="12" t="s">
        <v>1987</v>
      </c>
      <c r="I718" s="1" t="s">
        <v>59</v>
      </c>
      <c r="J718" s="1" t="s">
        <v>19</v>
      </c>
      <c r="K718" s="1" t="s">
        <v>92</v>
      </c>
      <c r="L718" s="1" t="s">
        <v>1446</v>
      </c>
      <c r="M718" s="10">
        <v>451.17</v>
      </c>
      <c r="N718" s="8">
        <v>4</v>
      </c>
      <c r="O718" s="6">
        <v>0.42</v>
      </c>
      <c r="P718" s="10">
        <v>250.68</v>
      </c>
      <c r="Q718" s="11">
        <f t="shared" si="68"/>
        <v>200.49</v>
      </c>
      <c r="R718" t="str">
        <f t="shared" si="71"/>
        <v>profit</v>
      </c>
    </row>
    <row r="719" spans="1:18" ht="15.75" customHeight="1" x14ac:dyDescent="0.4">
      <c r="A719" s="1" t="s">
        <v>1447</v>
      </c>
      <c r="B719" s="2">
        <v>44929</v>
      </c>
      <c r="C719" s="2">
        <v>44936</v>
      </c>
      <c r="D719" s="2" t="str">
        <f t="shared" si="69"/>
        <v>2023</v>
      </c>
      <c r="E719" s="2" t="str">
        <f t="shared" si="66"/>
        <v>January</v>
      </c>
      <c r="F719" s="2" t="str">
        <f t="shared" si="70"/>
        <v>Q1</v>
      </c>
      <c r="G719" s="13">
        <f t="shared" si="67"/>
        <v>7</v>
      </c>
      <c r="H719" s="12" t="s">
        <v>23</v>
      </c>
      <c r="I719" s="1" t="s">
        <v>18</v>
      </c>
      <c r="J719" s="1" t="s">
        <v>19</v>
      </c>
      <c r="K719" s="1" t="s">
        <v>92</v>
      </c>
      <c r="L719" s="1" t="s">
        <v>1448</v>
      </c>
      <c r="M719" s="10">
        <v>427.77</v>
      </c>
      <c r="N719" s="8">
        <v>4</v>
      </c>
      <c r="O719" s="6">
        <v>0.33</v>
      </c>
      <c r="P719" s="10">
        <v>246.98</v>
      </c>
      <c r="Q719" s="11">
        <f t="shared" si="68"/>
        <v>180.79</v>
      </c>
      <c r="R719" t="str">
        <f t="shared" si="71"/>
        <v>profit</v>
      </c>
    </row>
    <row r="720" spans="1:18" ht="15.75" customHeight="1" x14ac:dyDescent="0.4">
      <c r="A720" s="1" t="s">
        <v>1449</v>
      </c>
      <c r="B720" s="2">
        <v>45160</v>
      </c>
      <c r="C720" s="2">
        <v>45169</v>
      </c>
      <c r="D720" s="2" t="str">
        <f t="shared" si="69"/>
        <v>2023</v>
      </c>
      <c r="E720" s="2" t="str">
        <f t="shared" si="66"/>
        <v>August</v>
      </c>
      <c r="F720" s="2" t="str">
        <f t="shared" si="70"/>
        <v>Q3</v>
      </c>
      <c r="G720" s="13">
        <f t="shared" si="67"/>
        <v>9</v>
      </c>
      <c r="H720" s="12" t="s">
        <v>1986</v>
      </c>
      <c r="I720" s="1" t="s">
        <v>13</v>
      </c>
      <c r="J720" s="1" t="s">
        <v>14</v>
      </c>
      <c r="K720" s="1" t="s">
        <v>30</v>
      </c>
      <c r="L720" s="1" t="s">
        <v>1450</v>
      </c>
      <c r="M720" s="10">
        <v>857.45</v>
      </c>
      <c r="N720" s="8">
        <v>4</v>
      </c>
      <c r="O720" s="6">
        <v>0.43</v>
      </c>
      <c r="P720" s="10">
        <v>448.12</v>
      </c>
      <c r="Q720" s="11">
        <f t="shared" si="68"/>
        <v>409.33000000000004</v>
      </c>
      <c r="R720" t="str">
        <f t="shared" si="71"/>
        <v>profit</v>
      </c>
    </row>
    <row r="721" spans="1:18" ht="15.75" customHeight="1" x14ac:dyDescent="0.4">
      <c r="A721" s="1" t="s">
        <v>1451</v>
      </c>
      <c r="B721" s="2">
        <v>45105</v>
      </c>
      <c r="C721" s="2">
        <v>45112</v>
      </c>
      <c r="D721" s="2" t="str">
        <f t="shared" si="69"/>
        <v>2023</v>
      </c>
      <c r="E721" s="2" t="str">
        <f t="shared" si="66"/>
        <v>July</v>
      </c>
      <c r="F721" s="2" t="str">
        <f t="shared" si="70"/>
        <v>Q3</v>
      </c>
      <c r="G721" s="13">
        <f t="shared" si="67"/>
        <v>7</v>
      </c>
      <c r="H721" s="12" t="s">
        <v>1987</v>
      </c>
      <c r="I721" s="1" t="s">
        <v>18</v>
      </c>
      <c r="J721" s="1" t="s">
        <v>14</v>
      </c>
      <c r="K721" s="1" t="s">
        <v>54</v>
      </c>
      <c r="L721" s="1" t="s">
        <v>1452</v>
      </c>
      <c r="M721" s="10">
        <v>38.47</v>
      </c>
      <c r="N721" s="8">
        <v>2</v>
      </c>
      <c r="O721" s="6">
        <v>0.23</v>
      </c>
      <c r="P721" s="10">
        <v>12.44</v>
      </c>
      <c r="Q721" s="11">
        <f t="shared" si="68"/>
        <v>26.03</v>
      </c>
      <c r="R721" t="str">
        <f t="shared" si="71"/>
        <v>profit</v>
      </c>
    </row>
    <row r="722" spans="1:18" ht="15.75" customHeight="1" x14ac:dyDescent="0.4">
      <c r="A722" s="1" t="s">
        <v>1453</v>
      </c>
      <c r="B722" s="2">
        <v>45176</v>
      </c>
      <c r="C722" s="2">
        <v>45176</v>
      </c>
      <c r="D722" s="2" t="str">
        <f t="shared" si="69"/>
        <v>2023</v>
      </c>
      <c r="E722" s="2" t="str">
        <f t="shared" si="66"/>
        <v>September</v>
      </c>
      <c r="F722" s="2" t="str">
        <f t="shared" si="70"/>
        <v>Q4</v>
      </c>
      <c r="G722" s="13">
        <f t="shared" si="67"/>
        <v>0</v>
      </c>
      <c r="H722" s="12" t="s">
        <v>23</v>
      </c>
      <c r="I722" s="1" t="s">
        <v>24</v>
      </c>
      <c r="J722" s="1" t="s">
        <v>25</v>
      </c>
      <c r="K722" s="1" t="s">
        <v>43</v>
      </c>
      <c r="L722" s="1" t="s">
        <v>1454</v>
      </c>
      <c r="M722" s="10">
        <v>27.45</v>
      </c>
      <c r="N722" s="8">
        <v>5</v>
      </c>
      <c r="O722" s="6">
        <v>0.27</v>
      </c>
      <c r="P722" s="10">
        <v>-11.16</v>
      </c>
      <c r="Q722" s="11">
        <f t="shared" si="68"/>
        <v>38.61</v>
      </c>
      <c r="R722" t="str">
        <f t="shared" si="71"/>
        <v>loss</v>
      </c>
    </row>
    <row r="723" spans="1:18" ht="15.75" customHeight="1" x14ac:dyDescent="0.4">
      <c r="A723" s="1" t="s">
        <v>1455</v>
      </c>
      <c r="B723" s="2">
        <v>45229</v>
      </c>
      <c r="C723" s="2">
        <v>45234</v>
      </c>
      <c r="D723" s="2" t="str">
        <f t="shared" si="69"/>
        <v>2023</v>
      </c>
      <c r="E723" s="2" t="str">
        <f t="shared" si="66"/>
        <v>November</v>
      </c>
      <c r="F723" s="2" t="str">
        <f t="shared" si="70"/>
        <v>Q4</v>
      </c>
      <c r="G723" s="13">
        <f t="shared" si="67"/>
        <v>5</v>
      </c>
      <c r="H723" s="12" t="s">
        <v>1986</v>
      </c>
      <c r="I723" s="1" t="s">
        <v>13</v>
      </c>
      <c r="J723" s="1" t="s">
        <v>14</v>
      </c>
      <c r="K723" s="1" t="s">
        <v>15</v>
      </c>
      <c r="L723" s="1" t="s">
        <v>1456</v>
      </c>
      <c r="M723" s="10">
        <v>633.21</v>
      </c>
      <c r="N723" s="8">
        <v>6</v>
      </c>
      <c r="O723" s="6">
        <v>0.28999999999999998</v>
      </c>
      <c r="P723" s="10">
        <v>415.95</v>
      </c>
      <c r="Q723" s="11">
        <f t="shared" si="68"/>
        <v>217.26000000000005</v>
      </c>
      <c r="R723" t="str">
        <f t="shared" si="71"/>
        <v>profit</v>
      </c>
    </row>
    <row r="724" spans="1:18" ht="15.75" customHeight="1" x14ac:dyDescent="0.4">
      <c r="A724" s="1" t="s">
        <v>1457</v>
      </c>
      <c r="B724" s="2">
        <v>45352</v>
      </c>
      <c r="C724" s="2">
        <v>45359</v>
      </c>
      <c r="D724" s="2" t="str">
        <f t="shared" si="69"/>
        <v>2024</v>
      </c>
      <c r="E724" s="2" t="str">
        <f t="shared" si="66"/>
        <v>March</v>
      </c>
      <c r="F724" s="2" t="str">
        <f t="shared" si="70"/>
        <v>Q2</v>
      </c>
      <c r="G724" s="13">
        <f t="shared" si="67"/>
        <v>7</v>
      </c>
      <c r="H724" s="12" t="s">
        <v>1987</v>
      </c>
      <c r="I724" s="1" t="s">
        <v>46</v>
      </c>
      <c r="J724" s="1" t="s">
        <v>25</v>
      </c>
      <c r="K724" s="1" t="s">
        <v>43</v>
      </c>
      <c r="L724" s="1" t="s">
        <v>1458</v>
      </c>
      <c r="M724" s="10">
        <v>142.19999999999999</v>
      </c>
      <c r="N724" s="8">
        <v>7</v>
      </c>
      <c r="O724" s="6">
        <v>0.34</v>
      </c>
      <c r="P724" s="10">
        <v>63.68</v>
      </c>
      <c r="Q724" s="11">
        <f t="shared" si="68"/>
        <v>78.519999999999982</v>
      </c>
      <c r="R724" t="str">
        <f t="shared" si="71"/>
        <v>profit</v>
      </c>
    </row>
    <row r="725" spans="1:18" ht="15.75" customHeight="1" x14ac:dyDescent="0.4">
      <c r="A725" s="1" t="s">
        <v>1459</v>
      </c>
      <c r="B725" s="2">
        <v>44918</v>
      </c>
      <c r="C725" s="2">
        <v>44925</v>
      </c>
      <c r="D725" s="2" t="str">
        <f t="shared" si="69"/>
        <v>2022</v>
      </c>
      <c r="E725" s="2" t="str">
        <f t="shared" si="66"/>
        <v>December</v>
      </c>
      <c r="F725" s="2" t="str">
        <f t="shared" si="70"/>
        <v>Q4</v>
      </c>
      <c r="G725" s="13">
        <f t="shared" si="67"/>
        <v>7</v>
      </c>
      <c r="H725" s="12" t="s">
        <v>42</v>
      </c>
      <c r="I725" s="1" t="s">
        <v>29</v>
      </c>
      <c r="J725" s="1" t="s">
        <v>19</v>
      </c>
      <c r="K725" s="1" t="s">
        <v>92</v>
      </c>
      <c r="L725" s="1" t="s">
        <v>1460</v>
      </c>
      <c r="M725" s="10">
        <v>366.91</v>
      </c>
      <c r="N725" s="8">
        <v>8</v>
      </c>
      <c r="O725" s="6">
        <v>0.31</v>
      </c>
      <c r="P725" s="10">
        <v>207.59</v>
      </c>
      <c r="Q725" s="11">
        <f t="shared" si="68"/>
        <v>159.32000000000002</v>
      </c>
      <c r="R725" t="str">
        <f t="shared" si="71"/>
        <v>profit</v>
      </c>
    </row>
    <row r="726" spans="1:18" ht="15.75" customHeight="1" x14ac:dyDescent="0.4">
      <c r="A726" s="1" t="s">
        <v>1461</v>
      </c>
      <c r="B726" s="2">
        <v>45414</v>
      </c>
      <c r="C726" s="2">
        <v>45417</v>
      </c>
      <c r="D726" s="2" t="str">
        <f t="shared" si="69"/>
        <v>2024</v>
      </c>
      <c r="E726" s="2" t="str">
        <f t="shared" si="66"/>
        <v>May</v>
      </c>
      <c r="F726" s="2" t="str">
        <f t="shared" si="70"/>
        <v>Q2</v>
      </c>
      <c r="G726" s="13">
        <f t="shared" si="67"/>
        <v>3</v>
      </c>
      <c r="H726" s="12" t="s">
        <v>1987</v>
      </c>
      <c r="I726" s="1" t="s">
        <v>29</v>
      </c>
      <c r="J726" s="1" t="s">
        <v>14</v>
      </c>
      <c r="K726" s="1" t="s">
        <v>30</v>
      </c>
      <c r="L726" s="1" t="s">
        <v>1462</v>
      </c>
      <c r="M726" s="10">
        <v>447.66</v>
      </c>
      <c r="N726" s="8">
        <v>7</v>
      </c>
      <c r="O726" s="6">
        <v>0.15</v>
      </c>
      <c r="P726" s="10">
        <v>352.19</v>
      </c>
      <c r="Q726" s="11">
        <f t="shared" si="68"/>
        <v>95.470000000000027</v>
      </c>
      <c r="R726" t="str">
        <f t="shared" si="71"/>
        <v>profit</v>
      </c>
    </row>
    <row r="727" spans="1:18" ht="15.75" customHeight="1" x14ac:dyDescent="0.4">
      <c r="A727" s="1" t="s">
        <v>1463</v>
      </c>
      <c r="B727" s="2">
        <v>45458</v>
      </c>
      <c r="C727" s="2">
        <v>45458</v>
      </c>
      <c r="D727" s="2" t="str">
        <f t="shared" si="69"/>
        <v>2024</v>
      </c>
      <c r="E727" s="2" t="str">
        <f t="shared" si="66"/>
        <v>June</v>
      </c>
      <c r="F727" s="2" t="str">
        <f t="shared" si="70"/>
        <v>Q3</v>
      </c>
      <c r="G727" s="13">
        <f t="shared" si="67"/>
        <v>0</v>
      </c>
      <c r="H727" s="12" t="s">
        <v>1986</v>
      </c>
      <c r="I727" s="1" t="s">
        <v>50</v>
      </c>
      <c r="J727" s="1" t="s">
        <v>14</v>
      </c>
      <c r="K727" s="1" t="s">
        <v>30</v>
      </c>
      <c r="L727" s="1" t="s">
        <v>1464</v>
      </c>
      <c r="M727" s="10">
        <v>973.84</v>
      </c>
      <c r="N727" s="8">
        <v>3</v>
      </c>
      <c r="O727" s="6">
        <v>0.39</v>
      </c>
      <c r="P727" s="10">
        <v>571.38</v>
      </c>
      <c r="Q727" s="11">
        <f t="shared" si="68"/>
        <v>402.46000000000004</v>
      </c>
      <c r="R727" t="str">
        <f t="shared" si="71"/>
        <v>profit</v>
      </c>
    </row>
    <row r="728" spans="1:18" ht="15.75" customHeight="1" x14ac:dyDescent="0.4">
      <c r="A728" s="1" t="s">
        <v>1465</v>
      </c>
      <c r="B728" s="2">
        <v>45505</v>
      </c>
      <c r="C728" s="2">
        <v>45506</v>
      </c>
      <c r="D728" s="2" t="str">
        <f t="shared" si="69"/>
        <v>2024</v>
      </c>
      <c r="E728" s="2" t="str">
        <f t="shared" si="66"/>
        <v>August</v>
      </c>
      <c r="F728" s="2" t="str">
        <f t="shared" si="70"/>
        <v>Q3</v>
      </c>
      <c r="G728" s="13">
        <f t="shared" si="67"/>
        <v>1</v>
      </c>
      <c r="H728" s="12" t="s">
        <v>42</v>
      </c>
      <c r="I728" s="1" t="s">
        <v>24</v>
      </c>
      <c r="J728" s="1" t="s">
        <v>19</v>
      </c>
      <c r="K728" s="1" t="s">
        <v>35</v>
      </c>
      <c r="L728" s="1" t="s">
        <v>618</v>
      </c>
      <c r="M728" s="10">
        <v>776.41</v>
      </c>
      <c r="N728" s="8">
        <v>5</v>
      </c>
      <c r="O728" s="6">
        <v>0.47</v>
      </c>
      <c r="P728" s="10">
        <v>379.51</v>
      </c>
      <c r="Q728" s="11">
        <f t="shared" si="68"/>
        <v>396.9</v>
      </c>
      <c r="R728" t="str">
        <f t="shared" si="71"/>
        <v>profit</v>
      </c>
    </row>
    <row r="729" spans="1:18" ht="15.75" customHeight="1" x14ac:dyDescent="0.4">
      <c r="A729" s="1" t="s">
        <v>1466</v>
      </c>
      <c r="B729" s="2">
        <v>45437</v>
      </c>
      <c r="C729" s="2">
        <v>45445</v>
      </c>
      <c r="D729" s="2" t="str">
        <f t="shared" si="69"/>
        <v>2024</v>
      </c>
      <c r="E729" s="2" t="str">
        <f t="shared" si="66"/>
        <v>June</v>
      </c>
      <c r="F729" s="2" t="str">
        <f t="shared" si="70"/>
        <v>Q3</v>
      </c>
      <c r="G729" s="13">
        <f t="shared" si="67"/>
        <v>8</v>
      </c>
      <c r="H729" s="12" t="s">
        <v>23</v>
      </c>
      <c r="I729" s="1" t="s">
        <v>53</v>
      </c>
      <c r="J729" s="1" t="s">
        <v>14</v>
      </c>
      <c r="K729" s="1" t="s">
        <v>15</v>
      </c>
      <c r="L729" s="1" t="s">
        <v>1467</v>
      </c>
      <c r="M729" s="10">
        <v>763.98</v>
      </c>
      <c r="N729" s="8">
        <v>2</v>
      </c>
      <c r="O729" s="6">
        <v>0.28000000000000003</v>
      </c>
      <c r="P729" s="10">
        <v>532.96</v>
      </c>
      <c r="Q729" s="11">
        <f t="shared" si="68"/>
        <v>231.01999999999998</v>
      </c>
      <c r="R729" t="str">
        <f t="shared" si="71"/>
        <v>profit</v>
      </c>
    </row>
    <row r="730" spans="1:18" ht="15.75" customHeight="1" x14ac:dyDescent="0.4">
      <c r="A730" s="1" t="s">
        <v>1468</v>
      </c>
      <c r="B730" s="2">
        <v>45344</v>
      </c>
      <c r="C730" s="2">
        <v>45350</v>
      </c>
      <c r="D730" s="2" t="str">
        <f t="shared" si="69"/>
        <v>2024</v>
      </c>
      <c r="E730" s="2" t="str">
        <f t="shared" si="66"/>
        <v>February</v>
      </c>
      <c r="F730" s="2" t="str">
        <f t="shared" si="70"/>
        <v>Q1</v>
      </c>
      <c r="G730" s="13">
        <f t="shared" si="67"/>
        <v>6</v>
      </c>
      <c r="H730" s="12" t="s">
        <v>1987</v>
      </c>
      <c r="I730" s="1" t="s">
        <v>24</v>
      </c>
      <c r="J730" s="1" t="s">
        <v>14</v>
      </c>
      <c r="K730" s="1" t="s">
        <v>54</v>
      </c>
      <c r="L730" s="1" t="s">
        <v>1469</v>
      </c>
      <c r="M730" s="10">
        <v>74.5</v>
      </c>
      <c r="N730" s="8">
        <v>5</v>
      </c>
      <c r="O730" s="6">
        <v>0.1</v>
      </c>
      <c r="P730" s="10">
        <v>50.6</v>
      </c>
      <c r="Q730" s="11">
        <f t="shared" si="68"/>
        <v>23.9</v>
      </c>
      <c r="R730" t="str">
        <f t="shared" si="71"/>
        <v>profit</v>
      </c>
    </row>
    <row r="731" spans="1:18" ht="15.75" customHeight="1" x14ac:dyDescent="0.4">
      <c r="A731" s="1" t="s">
        <v>1470</v>
      </c>
      <c r="B731" s="2">
        <v>45113</v>
      </c>
      <c r="C731" s="2">
        <v>45120</v>
      </c>
      <c r="D731" s="2" t="str">
        <f t="shared" si="69"/>
        <v>2023</v>
      </c>
      <c r="E731" s="2" t="str">
        <f t="shared" si="66"/>
        <v>July</v>
      </c>
      <c r="F731" s="2" t="str">
        <f t="shared" si="70"/>
        <v>Q3</v>
      </c>
      <c r="G731" s="13">
        <f t="shared" si="67"/>
        <v>7</v>
      </c>
      <c r="H731" s="12" t="s">
        <v>42</v>
      </c>
      <c r="I731" s="1" t="s">
        <v>24</v>
      </c>
      <c r="J731" s="1" t="s">
        <v>14</v>
      </c>
      <c r="K731" s="1" t="s">
        <v>54</v>
      </c>
      <c r="L731" s="1" t="s">
        <v>1471</v>
      </c>
      <c r="M731" s="10">
        <v>197.36</v>
      </c>
      <c r="N731" s="8">
        <v>2</v>
      </c>
      <c r="O731" s="6">
        <v>0.37</v>
      </c>
      <c r="P731" s="10">
        <v>87.25</v>
      </c>
      <c r="Q731" s="11">
        <f t="shared" si="68"/>
        <v>110.11000000000001</v>
      </c>
      <c r="R731" t="str">
        <f t="shared" si="71"/>
        <v>profit</v>
      </c>
    </row>
    <row r="732" spans="1:18" ht="15.75" customHeight="1" x14ac:dyDescent="0.4">
      <c r="A732" s="1" t="s">
        <v>1474</v>
      </c>
      <c r="B732" s="2">
        <v>45213</v>
      </c>
      <c r="C732" s="2">
        <v>45213</v>
      </c>
      <c r="D732" s="2" t="str">
        <f t="shared" si="69"/>
        <v>2023</v>
      </c>
      <c r="E732" s="2" t="str">
        <f t="shared" si="66"/>
        <v>October</v>
      </c>
      <c r="F732" s="2" t="str">
        <f t="shared" si="70"/>
        <v>Q4</v>
      </c>
      <c r="G732" s="13">
        <f t="shared" si="67"/>
        <v>0</v>
      </c>
      <c r="H732" s="12" t="s">
        <v>1986</v>
      </c>
      <c r="I732" s="1" t="s">
        <v>46</v>
      </c>
      <c r="J732" s="1" t="s">
        <v>14</v>
      </c>
      <c r="K732" s="1" t="s">
        <v>30</v>
      </c>
      <c r="L732" s="1" t="s">
        <v>432</v>
      </c>
      <c r="M732" s="10">
        <v>533.19000000000005</v>
      </c>
      <c r="N732" s="8">
        <v>8</v>
      </c>
      <c r="O732" s="6">
        <v>0.37</v>
      </c>
      <c r="P732" s="10">
        <v>325.58</v>
      </c>
      <c r="Q732" s="11">
        <f t="shared" si="68"/>
        <v>207.61000000000007</v>
      </c>
      <c r="R732" t="str">
        <f t="shared" si="71"/>
        <v>profit</v>
      </c>
    </row>
    <row r="733" spans="1:18" ht="15.75" customHeight="1" x14ac:dyDescent="0.4">
      <c r="A733" s="1" t="s">
        <v>1475</v>
      </c>
      <c r="B733" s="2">
        <v>44900</v>
      </c>
      <c r="C733" s="2">
        <v>44904</v>
      </c>
      <c r="D733" s="2" t="str">
        <f t="shared" si="69"/>
        <v>2022</v>
      </c>
      <c r="E733" s="2" t="str">
        <f t="shared" si="66"/>
        <v>December</v>
      </c>
      <c r="F733" s="2" t="str">
        <f t="shared" si="70"/>
        <v>Q4</v>
      </c>
      <c r="G733" s="13">
        <f t="shared" si="67"/>
        <v>4</v>
      </c>
      <c r="H733" s="12" t="s">
        <v>1987</v>
      </c>
      <c r="I733" s="1" t="s">
        <v>50</v>
      </c>
      <c r="J733" s="1" t="s">
        <v>19</v>
      </c>
      <c r="K733" s="1" t="s">
        <v>92</v>
      </c>
      <c r="L733" s="1" t="s">
        <v>1476</v>
      </c>
      <c r="M733" s="10">
        <v>970.28</v>
      </c>
      <c r="N733" s="8">
        <v>10</v>
      </c>
      <c r="O733" s="6">
        <v>0.15</v>
      </c>
      <c r="P733" s="10">
        <v>804.42</v>
      </c>
      <c r="Q733" s="11">
        <f t="shared" si="68"/>
        <v>165.86</v>
      </c>
      <c r="R733" t="str">
        <f t="shared" si="71"/>
        <v>profit</v>
      </c>
    </row>
    <row r="734" spans="1:18" ht="15.75" customHeight="1" x14ac:dyDescent="0.4">
      <c r="A734" s="1" t="s">
        <v>1479</v>
      </c>
      <c r="B734" s="2">
        <v>45103</v>
      </c>
      <c r="C734" s="2">
        <v>45104</v>
      </c>
      <c r="D734" s="2" t="str">
        <f t="shared" si="69"/>
        <v>2023</v>
      </c>
      <c r="E734" s="2" t="str">
        <f t="shared" si="66"/>
        <v>June</v>
      </c>
      <c r="F734" s="2" t="str">
        <f t="shared" si="70"/>
        <v>Q3</v>
      </c>
      <c r="G734" s="13">
        <f t="shared" si="67"/>
        <v>1</v>
      </c>
      <c r="H734" s="12" t="s">
        <v>1987</v>
      </c>
      <c r="I734" s="1" t="s">
        <v>24</v>
      </c>
      <c r="J734" s="1" t="s">
        <v>19</v>
      </c>
      <c r="K734" s="1" t="s">
        <v>92</v>
      </c>
      <c r="L734" s="1" t="s">
        <v>1480</v>
      </c>
      <c r="M734" s="10">
        <v>884.45</v>
      </c>
      <c r="N734" s="8">
        <v>7</v>
      </c>
      <c r="O734" s="6">
        <v>0.02</v>
      </c>
      <c r="P734" s="10">
        <v>841.85</v>
      </c>
      <c r="Q734" s="11">
        <f t="shared" si="68"/>
        <v>42.600000000000023</v>
      </c>
      <c r="R734" t="str">
        <f t="shared" si="71"/>
        <v>profit</v>
      </c>
    </row>
    <row r="735" spans="1:18" ht="15.75" customHeight="1" x14ac:dyDescent="0.4">
      <c r="A735" s="1" t="s">
        <v>1481</v>
      </c>
      <c r="B735" s="2">
        <v>45404</v>
      </c>
      <c r="C735" s="2">
        <v>45410</v>
      </c>
      <c r="D735" s="2" t="str">
        <f t="shared" si="69"/>
        <v>2024</v>
      </c>
      <c r="E735" s="2" t="str">
        <f t="shared" si="66"/>
        <v>April</v>
      </c>
      <c r="F735" s="2" t="str">
        <f t="shared" si="70"/>
        <v>Q2</v>
      </c>
      <c r="G735" s="13">
        <f t="shared" si="67"/>
        <v>6</v>
      </c>
      <c r="H735" s="12" t="s">
        <v>1986</v>
      </c>
      <c r="I735" s="1" t="s">
        <v>29</v>
      </c>
      <c r="J735" s="1" t="s">
        <v>14</v>
      </c>
      <c r="K735" s="1" t="s">
        <v>30</v>
      </c>
      <c r="L735" s="1" t="s">
        <v>1482</v>
      </c>
      <c r="M735" s="10">
        <v>725.71</v>
      </c>
      <c r="N735" s="8">
        <v>10</v>
      </c>
      <c r="O735" s="6">
        <v>0.36</v>
      </c>
      <c r="P735" s="10">
        <v>417.41</v>
      </c>
      <c r="Q735" s="11">
        <f t="shared" si="68"/>
        <v>308.3</v>
      </c>
      <c r="R735" t="str">
        <f t="shared" si="71"/>
        <v>profit</v>
      </c>
    </row>
    <row r="736" spans="1:18" ht="15.75" customHeight="1" x14ac:dyDescent="0.4">
      <c r="A736" s="1" t="s">
        <v>1483</v>
      </c>
      <c r="B736" s="2">
        <v>45245</v>
      </c>
      <c r="C736" s="2">
        <v>45245</v>
      </c>
      <c r="D736" s="2" t="str">
        <f t="shared" si="69"/>
        <v>2023</v>
      </c>
      <c r="E736" s="2" t="str">
        <f t="shared" si="66"/>
        <v>November</v>
      </c>
      <c r="F736" s="2" t="str">
        <f t="shared" si="70"/>
        <v>Q4</v>
      </c>
      <c r="G736" s="13">
        <f t="shared" si="67"/>
        <v>0</v>
      </c>
      <c r="H736" s="12" t="s">
        <v>1987</v>
      </c>
      <c r="I736" s="1" t="s">
        <v>50</v>
      </c>
      <c r="J736" s="1" t="s">
        <v>25</v>
      </c>
      <c r="K736" s="1" t="s">
        <v>43</v>
      </c>
      <c r="L736" s="1" t="s">
        <v>1484</v>
      </c>
      <c r="M736" s="10">
        <v>331.71</v>
      </c>
      <c r="N736" s="8">
        <v>1</v>
      </c>
      <c r="O736" s="6">
        <v>0.39</v>
      </c>
      <c r="P736" s="10">
        <v>166.07</v>
      </c>
      <c r="Q736" s="11">
        <f t="shared" si="68"/>
        <v>165.64</v>
      </c>
      <c r="R736" t="str">
        <f t="shared" si="71"/>
        <v>profit</v>
      </c>
    </row>
    <row r="737" spans="1:18" ht="15.75" customHeight="1" x14ac:dyDescent="0.4">
      <c r="A737" s="1" t="s">
        <v>1485</v>
      </c>
      <c r="B737" s="2">
        <v>45043</v>
      </c>
      <c r="C737" s="2">
        <v>45051</v>
      </c>
      <c r="D737" s="2" t="str">
        <f t="shared" si="69"/>
        <v>2023</v>
      </c>
      <c r="E737" s="2" t="str">
        <f t="shared" si="66"/>
        <v>May</v>
      </c>
      <c r="F737" s="2" t="str">
        <f t="shared" si="70"/>
        <v>Q2</v>
      </c>
      <c r="G737" s="13">
        <f t="shared" si="67"/>
        <v>8</v>
      </c>
      <c r="H737" s="12" t="s">
        <v>1986</v>
      </c>
      <c r="I737" s="1" t="s">
        <v>46</v>
      </c>
      <c r="J737" s="1" t="s">
        <v>25</v>
      </c>
      <c r="K737" s="1" t="s">
        <v>47</v>
      </c>
      <c r="L737" s="1" t="s">
        <v>1486</v>
      </c>
      <c r="M737" s="10">
        <v>561</v>
      </c>
      <c r="N737" s="8">
        <v>10</v>
      </c>
      <c r="O737" s="6">
        <v>0.31</v>
      </c>
      <c r="P737" s="10">
        <v>345.69</v>
      </c>
      <c r="Q737" s="11">
        <f t="shared" si="68"/>
        <v>215.31</v>
      </c>
      <c r="R737" t="str">
        <f t="shared" si="71"/>
        <v>profit</v>
      </c>
    </row>
    <row r="738" spans="1:18" ht="15.75" customHeight="1" x14ac:dyDescent="0.4">
      <c r="A738" s="1" t="s">
        <v>1487</v>
      </c>
      <c r="B738" s="2">
        <v>45496</v>
      </c>
      <c r="C738" s="2">
        <v>45500</v>
      </c>
      <c r="D738" s="2" t="str">
        <f t="shared" si="69"/>
        <v>2024</v>
      </c>
      <c r="E738" s="2" t="str">
        <f t="shared" si="66"/>
        <v>July</v>
      </c>
      <c r="F738" s="2" t="str">
        <f t="shared" si="70"/>
        <v>Q3</v>
      </c>
      <c r="G738" s="13">
        <f t="shared" si="67"/>
        <v>4</v>
      </c>
      <c r="H738" s="12" t="s">
        <v>1987</v>
      </c>
      <c r="I738" s="1" t="s">
        <v>46</v>
      </c>
      <c r="J738" s="1" t="s">
        <v>19</v>
      </c>
      <c r="K738" s="1" t="s">
        <v>20</v>
      </c>
      <c r="L738" s="1" t="s">
        <v>1488</v>
      </c>
      <c r="M738" s="10">
        <v>515.67999999999995</v>
      </c>
      <c r="N738" s="8">
        <v>9</v>
      </c>
      <c r="O738" s="6">
        <v>0.26</v>
      </c>
      <c r="P738" s="10">
        <v>345.54</v>
      </c>
      <c r="Q738" s="11">
        <f t="shared" si="68"/>
        <v>170.13999999999993</v>
      </c>
      <c r="R738" t="str">
        <f t="shared" si="71"/>
        <v>profit</v>
      </c>
    </row>
    <row r="739" spans="1:18" ht="15.75" customHeight="1" x14ac:dyDescent="0.4">
      <c r="A739" s="1" t="s">
        <v>1489</v>
      </c>
      <c r="B739" s="2">
        <v>45302</v>
      </c>
      <c r="C739" s="2">
        <v>45304</v>
      </c>
      <c r="D739" s="2" t="str">
        <f t="shared" si="69"/>
        <v>2024</v>
      </c>
      <c r="E739" s="2" t="str">
        <f t="shared" si="66"/>
        <v>January</v>
      </c>
      <c r="F739" s="2" t="str">
        <f t="shared" si="70"/>
        <v>Q1</v>
      </c>
      <c r="G739" s="13">
        <f t="shared" si="67"/>
        <v>2</v>
      </c>
      <c r="H739" s="12" t="s">
        <v>1987</v>
      </c>
      <c r="I739" s="1" t="s">
        <v>53</v>
      </c>
      <c r="J739" s="1" t="s">
        <v>25</v>
      </c>
      <c r="K739" s="1" t="s">
        <v>26</v>
      </c>
      <c r="L739" s="1" t="s">
        <v>1490</v>
      </c>
      <c r="M739" s="10">
        <v>465.71</v>
      </c>
      <c r="N739" s="8">
        <v>2</v>
      </c>
      <c r="O739" s="6">
        <v>0.36</v>
      </c>
      <c r="P739" s="10">
        <v>281.86</v>
      </c>
      <c r="Q739" s="11">
        <f t="shared" si="68"/>
        <v>183.84999999999997</v>
      </c>
      <c r="R739" t="str">
        <f t="shared" si="71"/>
        <v>profit</v>
      </c>
    </row>
    <row r="740" spans="1:18" ht="15.75" customHeight="1" x14ac:dyDescent="0.4">
      <c r="A740" s="1" t="s">
        <v>1491</v>
      </c>
      <c r="B740" s="2">
        <v>45324</v>
      </c>
      <c r="C740" s="2">
        <v>45329</v>
      </c>
      <c r="D740" s="2" t="str">
        <f t="shared" si="69"/>
        <v>2024</v>
      </c>
      <c r="E740" s="2" t="str">
        <f t="shared" si="66"/>
        <v>February</v>
      </c>
      <c r="F740" s="2" t="str">
        <f t="shared" si="70"/>
        <v>Q1</v>
      </c>
      <c r="G740" s="13">
        <f t="shared" si="67"/>
        <v>5</v>
      </c>
      <c r="H740" s="12" t="s">
        <v>1987</v>
      </c>
      <c r="I740" s="1" t="s">
        <v>53</v>
      </c>
      <c r="J740" s="1" t="s">
        <v>19</v>
      </c>
      <c r="K740" s="1" t="s">
        <v>20</v>
      </c>
      <c r="L740" s="1" t="s">
        <v>932</v>
      </c>
      <c r="M740" s="10">
        <v>596.66999999999996</v>
      </c>
      <c r="N740" s="8">
        <v>9</v>
      </c>
      <c r="O740" s="6">
        <v>0.31</v>
      </c>
      <c r="P740" s="10">
        <v>373.05</v>
      </c>
      <c r="Q740" s="11">
        <f t="shared" si="68"/>
        <v>223.61999999999995</v>
      </c>
      <c r="R740" t="str">
        <f t="shared" si="71"/>
        <v>profit</v>
      </c>
    </row>
    <row r="741" spans="1:18" ht="15.75" customHeight="1" x14ac:dyDescent="0.4">
      <c r="A741" s="1" t="s">
        <v>1492</v>
      </c>
      <c r="B741" s="2">
        <v>45488</v>
      </c>
      <c r="C741" s="2">
        <v>45495</v>
      </c>
      <c r="D741" s="2" t="str">
        <f t="shared" si="69"/>
        <v>2024</v>
      </c>
      <c r="E741" s="2" t="str">
        <f t="shared" si="66"/>
        <v>July</v>
      </c>
      <c r="F741" s="2" t="str">
        <f t="shared" si="70"/>
        <v>Q3</v>
      </c>
      <c r="G741" s="13">
        <f t="shared" si="67"/>
        <v>7</v>
      </c>
      <c r="H741" s="12" t="s">
        <v>42</v>
      </c>
      <c r="I741" s="1" t="s">
        <v>46</v>
      </c>
      <c r="J741" s="1" t="s">
        <v>25</v>
      </c>
      <c r="K741" s="1" t="s">
        <v>26</v>
      </c>
      <c r="L741" s="1" t="s">
        <v>1296</v>
      </c>
      <c r="M741" s="10">
        <v>191.36</v>
      </c>
      <c r="N741" s="8">
        <v>8</v>
      </c>
      <c r="O741" s="6">
        <v>0.43</v>
      </c>
      <c r="P741" s="10">
        <v>60.53</v>
      </c>
      <c r="Q741" s="11">
        <f t="shared" si="68"/>
        <v>130.83000000000001</v>
      </c>
      <c r="R741" t="str">
        <f t="shared" si="71"/>
        <v>profit</v>
      </c>
    </row>
    <row r="742" spans="1:18" ht="15.75" customHeight="1" x14ac:dyDescent="0.4">
      <c r="A742" s="1" t="s">
        <v>1493</v>
      </c>
      <c r="B742" s="2">
        <v>45187</v>
      </c>
      <c r="C742" s="2">
        <v>45191</v>
      </c>
      <c r="D742" s="2" t="str">
        <f t="shared" si="69"/>
        <v>2023</v>
      </c>
      <c r="E742" s="2" t="str">
        <f t="shared" si="66"/>
        <v>September</v>
      </c>
      <c r="F742" s="2" t="str">
        <f t="shared" si="70"/>
        <v>Q4</v>
      </c>
      <c r="G742" s="13">
        <f t="shared" si="67"/>
        <v>4</v>
      </c>
      <c r="H742" s="12" t="s">
        <v>42</v>
      </c>
      <c r="I742" s="1" t="s">
        <v>24</v>
      </c>
      <c r="J742" s="1" t="s">
        <v>14</v>
      </c>
      <c r="K742" s="1" t="s">
        <v>30</v>
      </c>
      <c r="L742" s="1" t="s">
        <v>1464</v>
      </c>
      <c r="M742" s="10">
        <v>603.67999999999995</v>
      </c>
      <c r="N742" s="8">
        <v>8</v>
      </c>
      <c r="O742" s="6">
        <v>0.4</v>
      </c>
      <c r="P742" s="10">
        <v>340.74</v>
      </c>
      <c r="Q742" s="11">
        <f t="shared" si="68"/>
        <v>262.93999999999994</v>
      </c>
      <c r="R742" t="str">
        <f t="shared" si="71"/>
        <v>profit</v>
      </c>
    </row>
    <row r="743" spans="1:18" ht="15.75" customHeight="1" x14ac:dyDescent="0.4">
      <c r="A743" s="1" t="s">
        <v>1494</v>
      </c>
      <c r="B743" s="2">
        <v>45428</v>
      </c>
      <c r="C743" s="2">
        <v>45434</v>
      </c>
      <c r="D743" s="2" t="str">
        <f t="shared" si="69"/>
        <v>2024</v>
      </c>
      <c r="E743" s="2" t="str">
        <f t="shared" si="66"/>
        <v>May</v>
      </c>
      <c r="F743" s="2" t="str">
        <f t="shared" si="70"/>
        <v>Q2</v>
      </c>
      <c r="G743" s="13">
        <f t="shared" si="67"/>
        <v>6</v>
      </c>
      <c r="H743" s="12" t="s">
        <v>1986</v>
      </c>
      <c r="I743" s="1" t="s">
        <v>46</v>
      </c>
      <c r="J743" s="1" t="s">
        <v>25</v>
      </c>
      <c r="K743" s="1" t="s">
        <v>47</v>
      </c>
      <c r="L743" s="1" t="s">
        <v>1495</v>
      </c>
      <c r="M743" s="10">
        <v>994.5</v>
      </c>
      <c r="N743" s="8">
        <v>2</v>
      </c>
      <c r="O743" s="6">
        <v>0.02</v>
      </c>
      <c r="P743" s="10">
        <v>962.9</v>
      </c>
      <c r="Q743" s="11">
        <f t="shared" si="68"/>
        <v>31.600000000000023</v>
      </c>
      <c r="R743" t="str">
        <f t="shared" si="71"/>
        <v>profit</v>
      </c>
    </row>
    <row r="744" spans="1:18" ht="15.75" customHeight="1" x14ac:dyDescent="0.4">
      <c r="A744" s="1" t="s">
        <v>1496</v>
      </c>
      <c r="B744" s="2">
        <v>45625</v>
      </c>
      <c r="C744" s="2">
        <v>45629</v>
      </c>
      <c r="D744" s="2" t="str">
        <f t="shared" si="69"/>
        <v>2024</v>
      </c>
      <c r="E744" s="2" t="str">
        <f t="shared" si="66"/>
        <v>December</v>
      </c>
      <c r="F744" s="2" t="str">
        <f t="shared" si="70"/>
        <v>Q4</v>
      </c>
      <c r="G744" s="13">
        <f t="shared" si="67"/>
        <v>4</v>
      </c>
      <c r="H744" s="12" t="s">
        <v>42</v>
      </c>
      <c r="I744" s="1" t="s">
        <v>46</v>
      </c>
      <c r="J744" s="1" t="s">
        <v>14</v>
      </c>
      <c r="K744" s="1" t="s">
        <v>15</v>
      </c>
      <c r="L744" s="1" t="s">
        <v>1243</v>
      </c>
      <c r="M744" s="10">
        <v>749.23</v>
      </c>
      <c r="N744" s="8">
        <v>1</v>
      </c>
      <c r="O744" s="6">
        <v>0.28000000000000003</v>
      </c>
      <c r="P744" s="10">
        <v>498.18</v>
      </c>
      <c r="Q744" s="11">
        <f t="shared" si="68"/>
        <v>251.05</v>
      </c>
      <c r="R744" t="str">
        <f t="shared" si="71"/>
        <v>profit</v>
      </c>
    </row>
    <row r="745" spans="1:18" ht="15.75" customHeight="1" x14ac:dyDescent="0.4">
      <c r="A745" s="1" t="s">
        <v>1497</v>
      </c>
      <c r="B745" s="2">
        <v>45217</v>
      </c>
      <c r="C745" s="2">
        <v>45225</v>
      </c>
      <c r="D745" s="2" t="str">
        <f t="shared" si="69"/>
        <v>2023</v>
      </c>
      <c r="E745" s="2" t="str">
        <f t="shared" si="66"/>
        <v>October</v>
      </c>
      <c r="F745" s="2" t="str">
        <f t="shared" si="70"/>
        <v>Q4</v>
      </c>
      <c r="G745" s="13">
        <f t="shared" si="67"/>
        <v>8</v>
      </c>
      <c r="H745" s="12" t="s">
        <v>23</v>
      </c>
      <c r="I745" s="1" t="s">
        <v>18</v>
      </c>
      <c r="J745" s="1" t="s">
        <v>19</v>
      </c>
      <c r="K745" s="1" t="s">
        <v>92</v>
      </c>
      <c r="L745" s="1" t="s">
        <v>1498</v>
      </c>
      <c r="M745" s="10">
        <v>635.9</v>
      </c>
      <c r="N745" s="8">
        <v>2</v>
      </c>
      <c r="O745" s="6">
        <v>0.46</v>
      </c>
      <c r="P745" s="10">
        <v>306.35000000000002</v>
      </c>
      <c r="Q745" s="11">
        <f t="shared" si="68"/>
        <v>329.54999999999995</v>
      </c>
      <c r="R745" t="str">
        <f t="shared" si="71"/>
        <v>profit</v>
      </c>
    </row>
    <row r="746" spans="1:18" ht="15.75" customHeight="1" x14ac:dyDescent="0.4">
      <c r="A746" s="1" t="s">
        <v>1499</v>
      </c>
      <c r="B746" s="2">
        <v>45044</v>
      </c>
      <c r="C746" s="2">
        <v>45047</v>
      </c>
      <c r="D746" s="2" t="str">
        <f t="shared" si="69"/>
        <v>2023</v>
      </c>
      <c r="E746" s="2" t="str">
        <f t="shared" si="66"/>
        <v>May</v>
      </c>
      <c r="F746" s="2" t="str">
        <f t="shared" si="70"/>
        <v>Q2</v>
      </c>
      <c r="G746" s="13">
        <f t="shared" si="67"/>
        <v>3</v>
      </c>
      <c r="H746" s="12" t="s">
        <v>1987</v>
      </c>
      <c r="I746" s="1" t="s">
        <v>59</v>
      </c>
      <c r="J746" s="1" t="s">
        <v>25</v>
      </c>
      <c r="K746" s="1" t="s">
        <v>47</v>
      </c>
      <c r="L746" s="1" t="s">
        <v>1500</v>
      </c>
      <c r="M746" s="10">
        <v>962.79</v>
      </c>
      <c r="N746" s="8">
        <v>8</v>
      </c>
      <c r="O746" s="6">
        <v>0.38</v>
      </c>
      <c r="P746" s="10">
        <v>583.09</v>
      </c>
      <c r="Q746" s="11">
        <f t="shared" si="68"/>
        <v>379.69999999999993</v>
      </c>
      <c r="R746" t="str">
        <f t="shared" si="71"/>
        <v>profit</v>
      </c>
    </row>
    <row r="747" spans="1:18" ht="15.75" customHeight="1" x14ac:dyDescent="0.4">
      <c r="A747" s="1" t="s">
        <v>1501</v>
      </c>
      <c r="B747" s="2">
        <v>45595</v>
      </c>
      <c r="C747" s="2">
        <v>45601</v>
      </c>
      <c r="D747" s="2" t="str">
        <f t="shared" si="69"/>
        <v>2024</v>
      </c>
      <c r="E747" s="2" t="str">
        <f t="shared" si="66"/>
        <v>November</v>
      </c>
      <c r="F747" s="2" t="str">
        <f t="shared" si="70"/>
        <v>Q4</v>
      </c>
      <c r="G747" s="13">
        <f t="shared" si="67"/>
        <v>6</v>
      </c>
      <c r="H747" s="12" t="s">
        <v>1987</v>
      </c>
      <c r="I747" s="1" t="s">
        <v>13</v>
      </c>
      <c r="J747" s="1" t="s">
        <v>25</v>
      </c>
      <c r="K747" s="1" t="s">
        <v>43</v>
      </c>
      <c r="L747" s="1" t="s">
        <v>1502</v>
      </c>
      <c r="M747" s="10">
        <v>178.78</v>
      </c>
      <c r="N747" s="8">
        <v>3</v>
      </c>
      <c r="O747" s="6">
        <v>0.19</v>
      </c>
      <c r="P747" s="10">
        <v>122.82</v>
      </c>
      <c r="Q747" s="11">
        <f t="shared" si="68"/>
        <v>55.960000000000008</v>
      </c>
      <c r="R747" t="str">
        <f t="shared" si="71"/>
        <v>profit</v>
      </c>
    </row>
    <row r="748" spans="1:18" ht="15.75" customHeight="1" x14ac:dyDescent="0.4">
      <c r="A748" s="1" t="s">
        <v>1503</v>
      </c>
      <c r="B748" s="2">
        <v>45182</v>
      </c>
      <c r="C748" s="2">
        <v>45189</v>
      </c>
      <c r="D748" s="2" t="str">
        <f t="shared" si="69"/>
        <v>2023</v>
      </c>
      <c r="E748" s="2" t="str">
        <f t="shared" si="66"/>
        <v>September</v>
      </c>
      <c r="F748" s="2" t="str">
        <f t="shared" si="70"/>
        <v>Q4</v>
      </c>
      <c r="G748" s="13">
        <f t="shared" si="67"/>
        <v>7</v>
      </c>
      <c r="H748" s="12" t="s">
        <v>42</v>
      </c>
      <c r="I748" s="1" t="s">
        <v>46</v>
      </c>
      <c r="J748" s="1" t="s">
        <v>14</v>
      </c>
      <c r="K748" s="1" t="s">
        <v>15</v>
      </c>
      <c r="L748" s="1" t="s">
        <v>1504</v>
      </c>
      <c r="M748" s="10">
        <v>464.36</v>
      </c>
      <c r="N748" s="8">
        <v>5</v>
      </c>
      <c r="O748" s="6">
        <v>0.15</v>
      </c>
      <c r="P748" s="10">
        <v>362.17</v>
      </c>
      <c r="Q748" s="11">
        <f t="shared" si="68"/>
        <v>102.19</v>
      </c>
      <c r="R748" t="str">
        <f t="shared" si="71"/>
        <v>profit</v>
      </c>
    </row>
    <row r="749" spans="1:18" ht="15.75" customHeight="1" x14ac:dyDescent="0.4">
      <c r="A749" s="1" t="s">
        <v>1505</v>
      </c>
      <c r="B749" s="2">
        <v>45348</v>
      </c>
      <c r="C749" s="2">
        <v>45356</v>
      </c>
      <c r="D749" s="2" t="str">
        <f t="shared" si="69"/>
        <v>2024</v>
      </c>
      <c r="E749" s="2" t="str">
        <f t="shared" si="66"/>
        <v>March</v>
      </c>
      <c r="F749" s="2" t="str">
        <f t="shared" si="70"/>
        <v>Q2</v>
      </c>
      <c r="G749" s="13">
        <f t="shared" si="67"/>
        <v>8</v>
      </c>
      <c r="H749" s="12" t="s">
        <v>42</v>
      </c>
      <c r="I749" s="1" t="s">
        <v>46</v>
      </c>
      <c r="J749" s="1" t="s">
        <v>25</v>
      </c>
      <c r="K749" s="1" t="s">
        <v>26</v>
      </c>
      <c r="L749" s="1" t="s">
        <v>1506</v>
      </c>
      <c r="M749" s="10">
        <v>842.79</v>
      </c>
      <c r="N749" s="8">
        <v>7</v>
      </c>
      <c r="O749" s="6">
        <v>0.02</v>
      </c>
      <c r="P749" s="10">
        <v>800.33</v>
      </c>
      <c r="Q749" s="11">
        <f t="shared" si="68"/>
        <v>42.459999999999923</v>
      </c>
      <c r="R749" t="str">
        <f t="shared" si="71"/>
        <v>profit</v>
      </c>
    </row>
    <row r="750" spans="1:18" ht="15.75" customHeight="1" x14ac:dyDescent="0.4">
      <c r="A750" s="1" t="s">
        <v>1507</v>
      </c>
      <c r="B750" s="2">
        <v>45542</v>
      </c>
      <c r="C750" s="2">
        <v>45543</v>
      </c>
      <c r="D750" s="2" t="str">
        <f t="shared" si="69"/>
        <v>2024</v>
      </c>
      <c r="E750" s="2" t="str">
        <f t="shared" si="66"/>
        <v>September</v>
      </c>
      <c r="F750" s="2" t="str">
        <f t="shared" si="70"/>
        <v>Q4</v>
      </c>
      <c r="G750" s="13">
        <f t="shared" si="67"/>
        <v>1</v>
      </c>
      <c r="H750" s="12" t="s">
        <v>23</v>
      </c>
      <c r="I750" s="1" t="s">
        <v>29</v>
      </c>
      <c r="J750" s="1" t="s">
        <v>14</v>
      </c>
      <c r="K750" s="1" t="s">
        <v>54</v>
      </c>
      <c r="L750" s="1" t="s">
        <v>1508</v>
      </c>
      <c r="M750" s="10">
        <v>822.62</v>
      </c>
      <c r="N750" s="8">
        <v>10</v>
      </c>
      <c r="O750" s="6">
        <v>0.35</v>
      </c>
      <c r="P750" s="10">
        <v>513.80999999999995</v>
      </c>
      <c r="Q750" s="11">
        <f t="shared" si="68"/>
        <v>308.81000000000006</v>
      </c>
      <c r="R750" t="str">
        <f t="shared" si="71"/>
        <v>profit</v>
      </c>
    </row>
    <row r="751" spans="1:18" ht="15.75" customHeight="1" x14ac:dyDescent="0.4">
      <c r="A751" s="1" t="s">
        <v>1509</v>
      </c>
      <c r="B751" s="2">
        <v>45099</v>
      </c>
      <c r="C751" s="2">
        <v>45101</v>
      </c>
      <c r="D751" s="2" t="str">
        <f t="shared" si="69"/>
        <v>2023</v>
      </c>
      <c r="E751" s="2" t="str">
        <f t="shared" si="66"/>
        <v>June</v>
      </c>
      <c r="F751" s="2" t="str">
        <f t="shared" si="70"/>
        <v>Q3</v>
      </c>
      <c r="G751" s="13">
        <f t="shared" si="67"/>
        <v>2</v>
      </c>
      <c r="H751" s="12" t="s">
        <v>42</v>
      </c>
      <c r="I751" s="1" t="s">
        <v>29</v>
      </c>
      <c r="J751" s="1" t="s">
        <v>19</v>
      </c>
      <c r="K751" s="1" t="s">
        <v>20</v>
      </c>
      <c r="L751" s="1" t="s">
        <v>1510</v>
      </c>
      <c r="M751" s="10">
        <v>726.12</v>
      </c>
      <c r="N751" s="8">
        <v>10</v>
      </c>
      <c r="O751" s="6">
        <v>0.41</v>
      </c>
      <c r="P751" s="10">
        <v>417.33</v>
      </c>
      <c r="Q751" s="11">
        <f t="shared" si="68"/>
        <v>308.79000000000002</v>
      </c>
      <c r="R751" t="str">
        <f t="shared" si="71"/>
        <v>profit</v>
      </c>
    </row>
    <row r="752" spans="1:18" ht="15.75" customHeight="1" x14ac:dyDescent="0.4">
      <c r="A752" s="1" t="s">
        <v>1511</v>
      </c>
      <c r="B752" s="2">
        <v>45038</v>
      </c>
      <c r="C752" s="2">
        <v>45038</v>
      </c>
      <c r="D752" s="2" t="str">
        <f t="shared" si="69"/>
        <v>2023</v>
      </c>
      <c r="E752" s="2" t="str">
        <f t="shared" si="66"/>
        <v>April</v>
      </c>
      <c r="F752" s="2" t="str">
        <f t="shared" si="70"/>
        <v>Q2</v>
      </c>
      <c r="G752" s="13">
        <f t="shared" si="67"/>
        <v>0</v>
      </c>
      <c r="H752" s="12" t="s">
        <v>23</v>
      </c>
      <c r="I752" s="1" t="s">
        <v>59</v>
      </c>
      <c r="J752" s="1" t="s">
        <v>14</v>
      </c>
      <c r="K752" s="1" t="s">
        <v>15</v>
      </c>
      <c r="L752" s="1" t="s">
        <v>1512</v>
      </c>
      <c r="M752" s="10">
        <v>284.06</v>
      </c>
      <c r="N752" s="8">
        <v>3</v>
      </c>
      <c r="O752" s="6">
        <v>0.37</v>
      </c>
      <c r="P752" s="10">
        <v>162.68</v>
      </c>
      <c r="Q752" s="11">
        <f t="shared" si="68"/>
        <v>121.38</v>
      </c>
      <c r="R752" t="str">
        <f t="shared" si="71"/>
        <v>profit</v>
      </c>
    </row>
    <row r="753" spans="1:18" ht="15.75" customHeight="1" x14ac:dyDescent="0.4">
      <c r="A753" s="1" t="s">
        <v>1513</v>
      </c>
      <c r="B753" s="2">
        <v>45314</v>
      </c>
      <c r="C753" s="2">
        <v>45320</v>
      </c>
      <c r="D753" s="2" t="str">
        <f t="shared" si="69"/>
        <v>2024</v>
      </c>
      <c r="E753" s="2" t="str">
        <f t="shared" si="66"/>
        <v>January</v>
      </c>
      <c r="F753" s="2" t="str">
        <f t="shared" si="70"/>
        <v>Q1</v>
      </c>
      <c r="G753" s="13">
        <f t="shared" si="67"/>
        <v>6</v>
      </c>
      <c r="H753" s="12" t="s">
        <v>1986</v>
      </c>
      <c r="I753" s="1" t="s">
        <v>18</v>
      </c>
      <c r="J753" s="1" t="s">
        <v>14</v>
      </c>
      <c r="K753" s="1" t="s">
        <v>15</v>
      </c>
      <c r="L753" s="1" t="s">
        <v>1514</v>
      </c>
      <c r="M753" s="10">
        <v>877.58</v>
      </c>
      <c r="N753" s="8">
        <v>6</v>
      </c>
      <c r="O753" s="6">
        <v>0.06</v>
      </c>
      <c r="P753" s="10">
        <v>798.23</v>
      </c>
      <c r="Q753" s="11">
        <f t="shared" si="68"/>
        <v>79.350000000000023</v>
      </c>
      <c r="R753" t="str">
        <f t="shared" si="71"/>
        <v>profit</v>
      </c>
    </row>
    <row r="754" spans="1:18" ht="15.75" customHeight="1" x14ac:dyDescent="0.4">
      <c r="A754" s="1" t="s">
        <v>1515</v>
      </c>
      <c r="C754" s="2">
        <v>45310</v>
      </c>
      <c r="D754" s="2" t="str">
        <f t="shared" si="69"/>
        <v/>
      </c>
      <c r="E754" s="2" t="str">
        <f t="shared" si="66"/>
        <v>January</v>
      </c>
      <c r="F754" s="2" t="str">
        <f t="shared" si="70"/>
        <v>Q1</v>
      </c>
      <c r="G754" s="13">
        <f t="shared" si="67"/>
        <v>45310</v>
      </c>
      <c r="H754" s="12" t="s">
        <v>1988</v>
      </c>
      <c r="I754" s="1" t="s">
        <v>29</v>
      </c>
      <c r="J754" s="1" t="s">
        <v>14</v>
      </c>
      <c r="K754" s="1" t="s">
        <v>15</v>
      </c>
      <c r="L754" s="1" t="s">
        <v>1516</v>
      </c>
      <c r="M754" s="11" t="s">
        <v>1989</v>
      </c>
      <c r="N754" s="8">
        <v>9</v>
      </c>
      <c r="O754" s="6">
        <v>0.35</v>
      </c>
      <c r="P754" s="10">
        <v>30.21</v>
      </c>
      <c r="Q754" s="11" t="e">
        <f t="shared" si="68"/>
        <v>#VALUE!</v>
      </c>
      <c r="R754" t="str">
        <f t="shared" si="71"/>
        <v>profit</v>
      </c>
    </row>
    <row r="755" spans="1:18" ht="15.75" customHeight="1" x14ac:dyDescent="0.4">
      <c r="A755" s="1" t="s">
        <v>1517</v>
      </c>
      <c r="B755" s="2">
        <v>45294</v>
      </c>
      <c r="C755" s="2">
        <v>45294</v>
      </c>
      <c r="D755" s="2" t="str">
        <f t="shared" si="69"/>
        <v>2024</v>
      </c>
      <c r="E755" s="2" t="str">
        <f t="shared" si="66"/>
        <v>January</v>
      </c>
      <c r="F755" s="2" t="str">
        <f t="shared" si="70"/>
        <v>Q1</v>
      </c>
      <c r="G755" s="13">
        <f t="shared" si="67"/>
        <v>0</v>
      </c>
      <c r="H755" s="12" t="s">
        <v>1987</v>
      </c>
      <c r="I755" s="1" t="s">
        <v>13</v>
      </c>
      <c r="J755" s="1" t="s">
        <v>19</v>
      </c>
      <c r="K755" s="1" t="s">
        <v>92</v>
      </c>
      <c r="L755" s="1" t="s">
        <v>1518</v>
      </c>
      <c r="M755" s="10">
        <v>491.66</v>
      </c>
      <c r="N755" s="8">
        <v>6</v>
      </c>
      <c r="O755" s="6">
        <v>0.31</v>
      </c>
      <c r="P755" s="10">
        <v>292.95</v>
      </c>
      <c r="Q755" s="11">
        <f t="shared" si="68"/>
        <v>198.71000000000004</v>
      </c>
      <c r="R755" t="str">
        <f t="shared" si="71"/>
        <v>profit</v>
      </c>
    </row>
    <row r="756" spans="1:18" ht="15.75" customHeight="1" x14ac:dyDescent="0.4">
      <c r="A756" s="1" t="s">
        <v>1519</v>
      </c>
      <c r="B756" s="2">
        <v>45346</v>
      </c>
      <c r="C756" s="2">
        <v>45348</v>
      </c>
      <c r="D756" s="2" t="str">
        <f t="shared" si="69"/>
        <v>2024</v>
      </c>
      <c r="E756" s="2" t="str">
        <f t="shared" si="66"/>
        <v>February</v>
      </c>
      <c r="F756" s="2" t="str">
        <f t="shared" si="70"/>
        <v>Q1</v>
      </c>
      <c r="G756" s="13">
        <f t="shared" si="67"/>
        <v>2</v>
      </c>
      <c r="H756" s="12" t="s">
        <v>1987</v>
      </c>
      <c r="I756" s="1" t="s">
        <v>29</v>
      </c>
      <c r="J756" s="1" t="s">
        <v>25</v>
      </c>
      <c r="K756" s="1" t="s">
        <v>26</v>
      </c>
      <c r="L756" s="1" t="s">
        <v>1520</v>
      </c>
      <c r="M756" s="10">
        <v>118.38</v>
      </c>
      <c r="N756" s="8">
        <v>6</v>
      </c>
      <c r="O756" s="6">
        <v>0.22</v>
      </c>
      <c r="P756" s="10">
        <v>71.39</v>
      </c>
      <c r="Q756" s="11">
        <f t="shared" si="68"/>
        <v>46.989999999999995</v>
      </c>
      <c r="R756" t="str">
        <f t="shared" si="71"/>
        <v>profit</v>
      </c>
    </row>
    <row r="757" spans="1:18" ht="15.75" customHeight="1" x14ac:dyDescent="0.4">
      <c r="A757" s="1" t="s">
        <v>1521</v>
      </c>
      <c r="B757" s="2">
        <v>45335</v>
      </c>
      <c r="C757" s="2">
        <v>45344</v>
      </c>
      <c r="D757" s="2" t="str">
        <f t="shared" si="69"/>
        <v>2024</v>
      </c>
      <c r="E757" s="2" t="str">
        <f t="shared" si="66"/>
        <v>February</v>
      </c>
      <c r="F757" s="2" t="str">
        <f t="shared" si="70"/>
        <v>Q1</v>
      </c>
      <c r="G757" s="13">
        <f t="shared" si="67"/>
        <v>9</v>
      </c>
      <c r="H757" s="12" t="s">
        <v>42</v>
      </c>
      <c r="I757" s="1" t="s">
        <v>53</v>
      </c>
      <c r="J757" s="1" t="s">
        <v>19</v>
      </c>
      <c r="K757" s="1" t="s">
        <v>35</v>
      </c>
      <c r="L757" s="1" t="s">
        <v>1522</v>
      </c>
      <c r="M757" s="10">
        <v>451.11</v>
      </c>
      <c r="N757" s="8">
        <v>7</v>
      </c>
      <c r="O757" s="6">
        <v>0.24</v>
      </c>
      <c r="P757" s="10">
        <v>299.07</v>
      </c>
      <c r="Q757" s="11">
        <f t="shared" si="68"/>
        <v>152.04000000000002</v>
      </c>
      <c r="R757" t="str">
        <f t="shared" si="71"/>
        <v>profit</v>
      </c>
    </row>
    <row r="758" spans="1:18" ht="15.75" customHeight="1" x14ac:dyDescent="0.4">
      <c r="A758" s="1" t="s">
        <v>1523</v>
      </c>
      <c r="B758" s="2">
        <v>45599</v>
      </c>
      <c r="C758" s="2">
        <v>45599</v>
      </c>
      <c r="D758" s="2" t="str">
        <f t="shared" si="69"/>
        <v>2024</v>
      </c>
      <c r="E758" s="2" t="str">
        <f t="shared" si="66"/>
        <v>November</v>
      </c>
      <c r="F758" s="2" t="str">
        <f t="shared" si="70"/>
        <v>Q4</v>
      </c>
      <c r="G758" s="13">
        <f t="shared" si="67"/>
        <v>0</v>
      </c>
      <c r="H758" s="12" t="s">
        <v>1986</v>
      </c>
      <c r="I758" s="1" t="s">
        <v>59</v>
      </c>
      <c r="J758" s="1" t="s">
        <v>14</v>
      </c>
      <c r="K758" s="1" t="s">
        <v>15</v>
      </c>
      <c r="L758" s="1" t="s">
        <v>1524</v>
      </c>
      <c r="M758" s="10">
        <v>64.62</v>
      </c>
      <c r="N758" s="8">
        <v>10</v>
      </c>
      <c r="O758" s="6">
        <v>0.17</v>
      </c>
      <c r="P758" s="10">
        <v>29.64</v>
      </c>
      <c r="Q758" s="11">
        <f t="shared" si="68"/>
        <v>34.980000000000004</v>
      </c>
      <c r="R758" t="str">
        <f t="shared" si="71"/>
        <v>profit</v>
      </c>
    </row>
    <row r="759" spans="1:18" ht="15.75" customHeight="1" x14ac:dyDescent="0.4">
      <c r="A759" s="1" t="s">
        <v>1525</v>
      </c>
      <c r="B759" s="2">
        <v>45535</v>
      </c>
      <c r="C759" s="2">
        <v>45538</v>
      </c>
      <c r="D759" s="2" t="str">
        <f t="shared" si="69"/>
        <v>2024</v>
      </c>
      <c r="E759" s="2" t="str">
        <f t="shared" si="66"/>
        <v>September</v>
      </c>
      <c r="F759" s="2" t="str">
        <f t="shared" si="70"/>
        <v>Q4</v>
      </c>
      <c r="G759" s="13">
        <f t="shared" si="67"/>
        <v>3</v>
      </c>
      <c r="H759" s="12" t="s">
        <v>1986</v>
      </c>
      <c r="I759" s="1" t="s">
        <v>13</v>
      </c>
      <c r="J759" s="1" t="s">
        <v>19</v>
      </c>
      <c r="K759" s="1" t="s">
        <v>92</v>
      </c>
      <c r="L759" s="1" t="s">
        <v>1526</v>
      </c>
      <c r="M759" s="10">
        <v>88.48</v>
      </c>
      <c r="N759" s="8">
        <v>10</v>
      </c>
      <c r="O759" s="6">
        <v>0.46</v>
      </c>
      <c r="P759" s="10">
        <v>35.049999999999997</v>
      </c>
      <c r="Q759" s="11">
        <f t="shared" si="68"/>
        <v>53.430000000000007</v>
      </c>
      <c r="R759" t="str">
        <f t="shared" si="71"/>
        <v>profit</v>
      </c>
    </row>
    <row r="760" spans="1:18" ht="15.75" customHeight="1" x14ac:dyDescent="0.4">
      <c r="A760" s="1" t="s">
        <v>1527</v>
      </c>
      <c r="B760" s="2">
        <v>45609</v>
      </c>
      <c r="C760" s="2">
        <v>45615</v>
      </c>
      <c r="D760" s="2" t="str">
        <f t="shared" si="69"/>
        <v>2024</v>
      </c>
      <c r="E760" s="2" t="str">
        <f t="shared" si="66"/>
        <v>November</v>
      </c>
      <c r="F760" s="2" t="str">
        <f t="shared" si="70"/>
        <v>Q4</v>
      </c>
      <c r="G760" s="13">
        <f t="shared" si="67"/>
        <v>6</v>
      </c>
      <c r="H760" s="12" t="s">
        <v>23</v>
      </c>
      <c r="I760" s="1" t="s">
        <v>13</v>
      </c>
      <c r="J760" s="1" t="s">
        <v>19</v>
      </c>
      <c r="K760" s="1" t="s">
        <v>92</v>
      </c>
      <c r="L760" s="1" t="s">
        <v>1528</v>
      </c>
      <c r="M760" s="10">
        <v>20.46</v>
      </c>
      <c r="N760" s="8">
        <v>8</v>
      </c>
      <c r="O760" s="6">
        <v>0.06</v>
      </c>
      <c r="P760" s="10">
        <v>-24.31</v>
      </c>
      <c r="Q760" s="11">
        <f t="shared" si="68"/>
        <v>44.769999999999996</v>
      </c>
      <c r="R760" t="str">
        <f t="shared" si="71"/>
        <v>loss</v>
      </c>
    </row>
    <row r="761" spans="1:18" ht="15.75" customHeight="1" x14ac:dyDescent="0.4">
      <c r="A761" s="1" t="s">
        <v>1529</v>
      </c>
      <c r="B761" s="2">
        <v>45462</v>
      </c>
      <c r="C761" s="2">
        <v>45464</v>
      </c>
      <c r="D761" s="2" t="str">
        <f t="shared" si="69"/>
        <v>2024</v>
      </c>
      <c r="E761" s="2" t="str">
        <f t="shared" si="66"/>
        <v>June</v>
      </c>
      <c r="F761" s="2" t="str">
        <f t="shared" si="70"/>
        <v>Q3</v>
      </c>
      <c r="G761" s="13">
        <f t="shared" si="67"/>
        <v>2</v>
      </c>
      <c r="H761" s="12" t="s">
        <v>23</v>
      </c>
      <c r="I761" s="1" t="s">
        <v>50</v>
      </c>
      <c r="J761" s="1" t="s">
        <v>25</v>
      </c>
      <c r="K761" s="1" t="s">
        <v>47</v>
      </c>
      <c r="L761" s="1" t="s">
        <v>1530</v>
      </c>
      <c r="M761" s="10">
        <v>917.15</v>
      </c>
      <c r="N761" s="8">
        <v>4</v>
      </c>
      <c r="O761" s="6">
        <v>0.12</v>
      </c>
      <c r="P761" s="10">
        <v>784.13</v>
      </c>
      <c r="Q761" s="11">
        <f t="shared" si="68"/>
        <v>133.01999999999998</v>
      </c>
      <c r="R761" t="str">
        <f t="shared" si="71"/>
        <v>profit</v>
      </c>
    </row>
    <row r="762" spans="1:18" ht="15.75" customHeight="1" x14ac:dyDescent="0.4">
      <c r="A762" s="1" t="s">
        <v>1531</v>
      </c>
      <c r="B762" s="2">
        <v>45058</v>
      </c>
      <c r="C762" s="2">
        <v>45061</v>
      </c>
      <c r="D762" s="2" t="str">
        <f t="shared" si="69"/>
        <v>2023</v>
      </c>
      <c r="E762" s="2" t="str">
        <f t="shared" si="66"/>
        <v>May</v>
      </c>
      <c r="F762" s="2" t="str">
        <f t="shared" si="70"/>
        <v>Q2</v>
      </c>
      <c r="G762" s="13">
        <f t="shared" si="67"/>
        <v>3</v>
      </c>
      <c r="H762" s="12" t="s">
        <v>1987</v>
      </c>
      <c r="I762" s="1" t="s">
        <v>24</v>
      </c>
      <c r="J762" s="1" t="s">
        <v>14</v>
      </c>
      <c r="K762" s="1" t="s">
        <v>54</v>
      </c>
      <c r="L762" s="1" t="s">
        <v>1532</v>
      </c>
      <c r="M762" s="10">
        <v>201.32</v>
      </c>
      <c r="N762" s="8">
        <v>10</v>
      </c>
      <c r="O762" s="6">
        <v>0.48</v>
      </c>
      <c r="P762" s="10">
        <v>74.12</v>
      </c>
      <c r="Q762" s="11">
        <f t="shared" si="68"/>
        <v>127.19999999999999</v>
      </c>
      <c r="R762" t="str">
        <f t="shared" si="71"/>
        <v>profit</v>
      </c>
    </row>
    <row r="763" spans="1:18" ht="15.75" customHeight="1" x14ac:dyDescent="0.4">
      <c r="A763" s="1" t="s">
        <v>1533</v>
      </c>
      <c r="B763" s="2">
        <v>45208</v>
      </c>
      <c r="C763" s="2">
        <v>45213</v>
      </c>
      <c r="D763" s="2" t="str">
        <f t="shared" si="69"/>
        <v>2023</v>
      </c>
      <c r="E763" s="2" t="str">
        <f t="shared" si="66"/>
        <v>October</v>
      </c>
      <c r="F763" s="2" t="str">
        <f t="shared" si="70"/>
        <v>Q4</v>
      </c>
      <c r="G763" s="13">
        <f t="shared" si="67"/>
        <v>5</v>
      </c>
      <c r="H763" s="12" t="s">
        <v>42</v>
      </c>
      <c r="I763" s="1" t="s">
        <v>59</v>
      </c>
      <c r="J763" s="1" t="s">
        <v>19</v>
      </c>
      <c r="K763" s="1" t="s">
        <v>35</v>
      </c>
      <c r="L763" s="1" t="s">
        <v>1534</v>
      </c>
      <c r="M763" s="10">
        <v>895</v>
      </c>
      <c r="N763" s="8">
        <v>4</v>
      </c>
      <c r="O763" s="6">
        <v>0.14000000000000001</v>
      </c>
      <c r="P763" s="10">
        <v>725.79</v>
      </c>
      <c r="Q763" s="11">
        <f t="shared" si="68"/>
        <v>169.21000000000004</v>
      </c>
      <c r="R763" t="str">
        <f t="shared" si="71"/>
        <v>profit</v>
      </c>
    </row>
    <row r="764" spans="1:18" ht="15.75" customHeight="1" x14ac:dyDescent="0.4">
      <c r="A764" s="1" t="s">
        <v>1535</v>
      </c>
      <c r="B764" s="2">
        <v>45160</v>
      </c>
      <c r="C764" s="2">
        <v>45164</v>
      </c>
      <c r="D764" s="2" t="str">
        <f t="shared" si="69"/>
        <v>2023</v>
      </c>
      <c r="E764" s="2" t="str">
        <f t="shared" si="66"/>
        <v>August</v>
      </c>
      <c r="F764" s="2" t="str">
        <f t="shared" si="70"/>
        <v>Q3</v>
      </c>
      <c r="G764" s="13">
        <f t="shared" si="67"/>
        <v>4</v>
      </c>
      <c r="H764" s="12" t="s">
        <v>42</v>
      </c>
      <c r="I764" s="1" t="s">
        <v>18</v>
      </c>
      <c r="J764" s="1" t="s">
        <v>25</v>
      </c>
      <c r="K764" s="1" t="s">
        <v>43</v>
      </c>
      <c r="L764" s="1" t="s">
        <v>1536</v>
      </c>
      <c r="M764" s="10">
        <v>890.29</v>
      </c>
      <c r="N764" s="8">
        <v>3</v>
      </c>
      <c r="O764" s="6">
        <v>0.2</v>
      </c>
      <c r="P764" s="10">
        <v>662.84</v>
      </c>
      <c r="Q764" s="11">
        <f t="shared" si="68"/>
        <v>227.44999999999993</v>
      </c>
      <c r="R764" t="str">
        <f t="shared" si="71"/>
        <v>profit</v>
      </c>
    </row>
    <row r="765" spans="1:18" ht="15.75" customHeight="1" x14ac:dyDescent="0.4">
      <c r="A765" s="1" t="s">
        <v>1537</v>
      </c>
      <c r="B765" s="2">
        <v>45267</v>
      </c>
      <c r="C765" s="2">
        <v>45267</v>
      </c>
      <c r="D765" s="2" t="str">
        <f t="shared" si="69"/>
        <v>2023</v>
      </c>
      <c r="E765" s="2" t="str">
        <f t="shared" si="66"/>
        <v>December</v>
      </c>
      <c r="F765" s="2" t="str">
        <f t="shared" si="70"/>
        <v>Q4</v>
      </c>
      <c r="G765" s="13">
        <f t="shared" si="67"/>
        <v>0</v>
      </c>
      <c r="H765" s="12" t="s">
        <v>1987</v>
      </c>
      <c r="I765" s="1" t="s">
        <v>24</v>
      </c>
      <c r="J765" s="1" t="s">
        <v>19</v>
      </c>
      <c r="K765" s="1" t="s">
        <v>35</v>
      </c>
      <c r="L765" s="1" t="s">
        <v>1538</v>
      </c>
      <c r="M765" s="10">
        <v>620.98</v>
      </c>
      <c r="N765" s="8">
        <v>10</v>
      </c>
      <c r="O765" s="6">
        <v>7.0000000000000007E-2</v>
      </c>
      <c r="P765" s="10">
        <v>533.41999999999996</v>
      </c>
      <c r="Q765" s="11">
        <f t="shared" si="68"/>
        <v>87.560000000000059</v>
      </c>
      <c r="R765" t="str">
        <f t="shared" si="71"/>
        <v>profit</v>
      </c>
    </row>
    <row r="766" spans="1:18" ht="15.75" customHeight="1" x14ac:dyDescent="0.4">
      <c r="A766" s="1" t="s">
        <v>1539</v>
      </c>
      <c r="B766" s="2">
        <v>45254</v>
      </c>
      <c r="C766" s="2">
        <v>45257</v>
      </c>
      <c r="D766" s="2" t="str">
        <f t="shared" si="69"/>
        <v>2023</v>
      </c>
      <c r="E766" s="2" t="str">
        <f t="shared" si="66"/>
        <v>November</v>
      </c>
      <c r="F766" s="2" t="str">
        <f t="shared" si="70"/>
        <v>Q4</v>
      </c>
      <c r="G766" s="13">
        <f t="shared" si="67"/>
        <v>3</v>
      </c>
      <c r="H766" s="12" t="s">
        <v>1986</v>
      </c>
      <c r="I766" s="1" t="s">
        <v>53</v>
      </c>
      <c r="J766" s="1" t="s">
        <v>14</v>
      </c>
      <c r="K766" s="1" t="s">
        <v>54</v>
      </c>
      <c r="L766" s="1" t="s">
        <v>1540</v>
      </c>
      <c r="M766" s="10">
        <v>94.21</v>
      </c>
      <c r="N766" s="8">
        <v>9</v>
      </c>
      <c r="O766" s="6">
        <v>0.16</v>
      </c>
      <c r="P766" s="10">
        <v>33.01</v>
      </c>
      <c r="Q766" s="11">
        <f t="shared" si="68"/>
        <v>61.199999999999996</v>
      </c>
      <c r="R766" t="str">
        <f t="shared" si="71"/>
        <v>profit</v>
      </c>
    </row>
    <row r="767" spans="1:18" ht="15.75" customHeight="1" x14ac:dyDescent="0.4">
      <c r="A767" s="1" t="s">
        <v>1541</v>
      </c>
      <c r="B767" s="2">
        <v>45103</v>
      </c>
      <c r="C767" s="2">
        <v>45110</v>
      </c>
      <c r="D767" s="2" t="str">
        <f t="shared" si="69"/>
        <v>2023</v>
      </c>
      <c r="E767" s="2" t="str">
        <f t="shared" si="66"/>
        <v>July</v>
      </c>
      <c r="F767" s="2" t="str">
        <f t="shared" si="70"/>
        <v>Q3</v>
      </c>
      <c r="G767" s="13">
        <f t="shared" si="67"/>
        <v>7</v>
      </c>
      <c r="H767" s="12" t="s">
        <v>1986</v>
      </c>
      <c r="I767" s="1" t="s">
        <v>46</v>
      </c>
      <c r="J767" s="1" t="s">
        <v>25</v>
      </c>
      <c r="K767" s="1" t="s">
        <v>43</v>
      </c>
      <c r="L767" s="1" t="s">
        <v>1542</v>
      </c>
      <c r="M767" s="10">
        <v>252.48</v>
      </c>
      <c r="N767" s="8">
        <v>10</v>
      </c>
      <c r="O767" s="6">
        <v>7.0000000000000007E-2</v>
      </c>
      <c r="P767" s="10">
        <v>201.12</v>
      </c>
      <c r="Q767" s="11">
        <f t="shared" si="68"/>
        <v>51.359999999999985</v>
      </c>
      <c r="R767" t="str">
        <f t="shared" si="71"/>
        <v>profit</v>
      </c>
    </row>
    <row r="768" spans="1:18" ht="15.75" customHeight="1" x14ac:dyDescent="0.4">
      <c r="A768" s="1" t="s">
        <v>1543</v>
      </c>
      <c r="B768" s="2">
        <v>45232</v>
      </c>
      <c r="C768" s="2">
        <v>45237</v>
      </c>
      <c r="D768" s="2" t="str">
        <f t="shared" si="69"/>
        <v>2023</v>
      </c>
      <c r="E768" s="2" t="str">
        <f t="shared" si="66"/>
        <v>November</v>
      </c>
      <c r="F768" s="2" t="str">
        <f t="shared" si="70"/>
        <v>Q4</v>
      </c>
      <c r="G768" s="13">
        <f t="shared" si="67"/>
        <v>5</v>
      </c>
      <c r="H768" s="12" t="s">
        <v>1986</v>
      </c>
      <c r="I768" s="1" t="s">
        <v>13</v>
      </c>
      <c r="J768" s="1" t="s">
        <v>19</v>
      </c>
      <c r="K768" s="1" t="s">
        <v>92</v>
      </c>
      <c r="L768" s="1" t="s">
        <v>1544</v>
      </c>
      <c r="M768" s="10">
        <v>55.31</v>
      </c>
      <c r="N768" s="8">
        <v>5</v>
      </c>
      <c r="O768" s="6">
        <v>0.17</v>
      </c>
      <c r="P768" s="10">
        <v>24.04</v>
      </c>
      <c r="Q768" s="11">
        <f t="shared" si="68"/>
        <v>31.270000000000003</v>
      </c>
      <c r="R768" t="str">
        <f t="shared" si="71"/>
        <v>profit</v>
      </c>
    </row>
    <row r="769" spans="1:18" ht="15.75" customHeight="1" x14ac:dyDescent="0.4">
      <c r="A769" s="1" t="s">
        <v>1545</v>
      </c>
      <c r="B769" s="2">
        <v>44995</v>
      </c>
      <c r="C769" s="2">
        <v>44995</v>
      </c>
      <c r="D769" s="2" t="str">
        <f t="shared" si="69"/>
        <v>2023</v>
      </c>
      <c r="E769" s="2" t="str">
        <f t="shared" si="66"/>
        <v>March</v>
      </c>
      <c r="F769" s="2" t="str">
        <f t="shared" si="70"/>
        <v>Q2</v>
      </c>
      <c r="G769" s="13">
        <f t="shared" si="67"/>
        <v>0</v>
      </c>
      <c r="H769" s="12" t="s">
        <v>42</v>
      </c>
      <c r="I769" s="1" t="s">
        <v>59</v>
      </c>
      <c r="J769" s="1" t="s">
        <v>25</v>
      </c>
      <c r="K769" s="1" t="s">
        <v>47</v>
      </c>
      <c r="L769" s="1" t="s">
        <v>1546</v>
      </c>
      <c r="M769" s="10">
        <v>926.86</v>
      </c>
      <c r="N769" s="8">
        <v>4</v>
      </c>
      <c r="O769" s="6">
        <v>0.44</v>
      </c>
      <c r="P769" s="10">
        <v>478.71</v>
      </c>
      <c r="Q769" s="11">
        <f t="shared" si="68"/>
        <v>448.15000000000003</v>
      </c>
      <c r="R769" t="str">
        <f t="shared" si="71"/>
        <v>profit</v>
      </c>
    </row>
    <row r="770" spans="1:18" ht="15.75" customHeight="1" x14ac:dyDescent="0.4">
      <c r="A770" s="1" t="s">
        <v>1547</v>
      </c>
      <c r="B770" s="2">
        <v>45507</v>
      </c>
      <c r="C770" s="2">
        <v>45516</v>
      </c>
      <c r="D770" s="2" t="str">
        <f t="shared" si="69"/>
        <v>2024</v>
      </c>
      <c r="E770" s="2" t="str">
        <f t="shared" ref="E770:E833" si="72">TEXT(C770, "MMMM")</f>
        <v>August</v>
      </c>
      <c r="F770" s="2" t="str">
        <f t="shared" si="70"/>
        <v>Q3</v>
      </c>
      <c r="G770" s="13">
        <f t="shared" ref="G770:G833" si="73">DATEDIF(B770,C770, "D")</f>
        <v>9</v>
      </c>
      <c r="H770" s="12" t="s">
        <v>42</v>
      </c>
      <c r="I770" s="1" t="s">
        <v>59</v>
      </c>
      <c r="J770" s="1" t="s">
        <v>19</v>
      </c>
      <c r="K770" s="1" t="s">
        <v>92</v>
      </c>
      <c r="L770" s="1" t="s">
        <v>1548</v>
      </c>
      <c r="M770" s="10">
        <v>914.6</v>
      </c>
      <c r="N770" s="8">
        <v>10</v>
      </c>
      <c r="O770" s="6">
        <v>0.16</v>
      </c>
      <c r="P770" s="10">
        <v>743.85</v>
      </c>
      <c r="Q770" s="11">
        <f t="shared" ref="Q770:Q833" si="74">M770 - P770</f>
        <v>170.75</v>
      </c>
      <c r="R770" t="str">
        <f t="shared" si="71"/>
        <v>profit</v>
      </c>
    </row>
    <row r="771" spans="1:18" ht="15.75" customHeight="1" x14ac:dyDescent="0.4">
      <c r="A771" s="1" t="s">
        <v>1549</v>
      </c>
      <c r="B771" s="2">
        <v>45139</v>
      </c>
      <c r="C771" s="2">
        <v>45140</v>
      </c>
      <c r="D771" s="2" t="str">
        <f t="shared" ref="D771:D834" si="75">IF(B771="","",TEXT(B771,"YYYY"))</f>
        <v>2023</v>
      </c>
      <c r="E771" s="2" t="str">
        <f t="shared" si="72"/>
        <v>August</v>
      </c>
      <c r="F771" s="2" t="str">
        <f t="shared" ref="F771:F834" si="76">IF(MONTH(C771)&lt;3,"Q1",IF(MONTH(C771)&lt;6,"Q2",IF(MONTH(C771)&lt;9,"Q3","Q4")))</f>
        <v>Q3</v>
      </c>
      <c r="G771" s="13">
        <f t="shared" si="73"/>
        <v>1</v>
      </c>
      <c r="H771" s="12" t="s">
        <v>1987</v>
      </c>
      <c r="I771" s="1" t="s">
        <v>46</v>
      </c>
      <c r="J771" s="1" t="s">
        <v>25</v>
      </c>
      <c r="K771" s="1" t="s">
        <v>26</v>
      </c>
      <c r="L771" s="1" t="s">
        <v>1550</v>
      </c>
      <c r="M771" s="10">
        <v>788.87</v>
      </c>
      <c r="N771" s="8">
        <v>6</v>
      </c>
      <c r="O771" s="6">
        <v>0.41</v>
      </c>
      <c r="P771" s="10">
        <v>443.95</v>
      </c>
      <c r="Q771" s="11">
        <f t="shared" si="74"/>
        <v>344.92</v>
      </c>
      <c r="R771" t="str">
        <f t="shared" si="71"/>
        <v>profit</v>
      </c>
    </row>
    <row r="772" spans="1:18" ht="15.75" customHeight="1" x14ac:dyDescent="0.4">
      <c r="A772" s="1" t="s">
        <v>1551</v>
      </c>
      <c r="B772" s="2">
        <v>45169</v>
      </c>
      <c r="C772" s="2">
        <v>45177</v>
      </c>
      <c r="D772" s="2" t="str">
        <f t="shared" si="75"/>
        <v>2023</v>
      </c>
      <c r="E772" s="2" t="str">
        <f t="shared" si="72"/>
        <v>September</v>
      </c>
      <c r="F772" s="2" t="str">
        <f t="shared" si="76"/>
        <v>Q4</v>
      </c>
      <c r="G772" s="13">
        <f t="shared" si="73"/>
        <v>8</v>
      </c>
      <c r="H772" s="12" t="s">
        <v>1986</v>
      </c>
      <c r="I772" s="1" t="s">
        <v>59</v>
      </c>
      <c r="J772" s="1" t="s">
        <v>25</v>
      </c>
      <c r="K772" s="1" t="s">
        <v>26</v>
      </c>
      <c r="L772" s="1" t="s">
        <v>1552</v>
      </c>
      <c r="M772" s="10">
        <v>975.5</v>
      </c>
      <c r="N772" s="8">
        <v>6</v>
      </c>
      <c r="O772" s="6">
        <v>0.16</v>
      </c>
      <c r="P772" s="10">
        <v>798.89</v>
      </c>
      <c r="Q772" s="11">
        <f t="shared" si="74"/>
        <v>176.61</v>
      </c>
      <c r="R772" t="str">
        <f t="shared" ref="R772:R835" si="77">IF(P772&gt;0,"profit","loss")</f>
        <v>profit</v>
      </c>
    </row>
    <row r="773" spans="1:18" ht="15.75" customHeight="1" x14ac:dyDescent="0.4">
      <c r="A773" s="1" t="s">
        <v>1553</v>
      </c>
      <c r="B773" s="2">
        <v>45479</v>
      </c>
      <c r="C773" s="2">
        <v>45479</v>
      </c>
      <c r="D773" s="2" t="str">
        <f t="shared" si="75"/>
        <v>2024</v>
      </c>
      <c r="E773" s="2" t="str">
        <f t="shared" si="72"/>
        <v>July</v>
      </c>
      <c r="F773" s="2" t="str">
        <f t="shared" si="76"/>
        <v>Q3</v>
      </c>
      <c r="G773" s="13">
        <f t="shared" si="73"/>
        <v>0</v>
      </c>
      <c r="H773" s="12" t="s">
        <v>23</v>
      </c>
      <c r="I773" s="1" t="s">
        <v>18</v>
      </c>
      <c r="J773" s="1" t="s">
        <v>19</v>
      </c>
      <c r="K773" s="1" t="s">
        <v>20</v>
      </c>
      <c r="L773" s="1" t="s">
        <v>569</v>
      </c>
      <c r="M773" s="10">
        <v>615.4</v>
      </c>
      <c r="N773" s="8">
        <v>4</v>
      </c>
      <c r="O773" s="6">
        <v>0.23</v>
      </c>
      <c r="P773" s="10">
        <v>441.36</v>
      </c>
      <c r="Q773" s="11">
        <f t="shared" si="74"/>
        <v>174.03999999999996</v>
      </c>
      <c r="R773" t="str">
        <f t="shared" si="77"/>
        <v>profit</v>
      </c>
    </row>
    <row r="774" spans="1:18" ht="15.75" customHeight="1" x14ac:dyDescent="0.4">
      <c r="A774" s="1" t="s">
        <v>1554</v>
      </c>
      <c r="B774" s="2">
        <v>45348</v>
      </c>
      <c r="C774" s="2">
        <v>45357</v>
      </c>
      <c r="D774" s="2" t="str">
        <f t="shared" si="75"/>
        <v>2024</v>
      </c>
      <c r="E774" s="2" t="str">
        <f t="shared" si="72"/>
        <v>March</v>
      </c>
      <c r="F774" s="2" t="str">
        <f t="shared" si="76"/>
        <v>Q2</v>
      </c>
      <c r="G774" s="13">
        <f t="shared" si="73"/>
        <v>9</v>
      </c>
      <c r="H774" s="12" t="s">
        <v>1986</v>
      </c>
      <c r="I774" s="1" t="s">
        <v>59</v>
      </c>
      <c r="J774" s="1" t="s">
        <v>25</v>
      </c>
      <c r="K774" s="1" t="s">
        <v>43</v>
      </c>
      <c r="L774" s="1" t="s">
        <v>1555</v>
      </c>
      <c r="M774" s="10">
        <v>738.34</v>
      </c>
      <c r="N774" s="8">
        <v>9</v>
      </c>
      <c r="O774" s="6">
        <v>0.36</v>
      </c>
      <c r="P774" s="10">
        <v>443.54</v>
      </c>
      <c r="Q774" s="11">
        <f t="shared" si="74"/>
        <v>294.8</v>
      </c>
      <c r="R774" t="str">
        <f t="shared" si="77"/>
        <v>profit</v>
      </c>
    </row>
    <row r="775" spans="1:18" ht="15.75" customHeight="1" x14ac:dyDescent="0.4">
      <c r="A775" s="1" t="s">
        <v>1556</v>
      </c>
      <c r="B775" s="2">
        <v>45080</v>
      </c>
      <c r="C775" s="2">
        <v>45081</v>
      </c>
      <c r="D775" s="2" t="str">
        <f t="shared" si="75"/>
        <v>2023</v>
      </c>
      <c r="E775" s="2" t="str">
        <f t="shared" si="72"/>
        <v>June</v>
      </c>
      <c r="F775" s="2" t="str">
        <f t="shared" si="76"/>
        <v>Q3</v>
      </c>
      <c r="G775" s="13">
        <f t="shared" si="73"/>
        <v>1</v>
      </c>
      <c r="H775" s="12" t="s">
        <v>23</v>
      </c>
      <c r="I775" s="1" t="s">
        <v>24</v>
      </c>
      <c r="J775" s="1" t="s">
        <v>25</v>
      </c>
      <c r="K775" s="1" t="s">
        <v>43</v>
      </c>
      <c r="L775" s="1" t="s">
        <v>1557</v>
      </c>
      <c r="M775" s="10">
        <v>773.19</v>
      </c>
      <c r="N775" s="8">
        <v>7</v>
      </c>
      <c r="O775" s="6">
        <v>0.3</v>
      </c>
      <c r="P775" s="10">
        <v>501.61</v>
      </c>
      <c r="Q775" s="11">
        <f t="shared" si="74"/>
        <v>271.58000000000004</v>
      </c>
      <c r="R775" t="str">
        <f t="shared" si="77"/>
        <v>profit</v>
      </c>
    </row>
    <row r="776" spans="1:18" ht="15.75" customHeight="1" x14ac:dyDescent="0.4">
      <c r="A776" s="1" t="s">
        <v>1558</v>
      </c>
      <c r="B776" s="2">
        <v>45433</v>
      </c>
      <c r="C776" s="2">
        <v>45441</v>
      </c>
      <c r="D776" s="2" t="str">
        <f t="shared" si="75"/>
        <v>2024</v>
      </c>
      <c r="E776" s="2" t="str">
        <f t="shared" si="72"/>
        <v>May</v>
      </c>
      <c r="F776" s="2" t="str">
        <f t="shared" si="76"/>
        <v>Q2</v>
      </c>
      <c r="G776" s="13">
        <f t="shared" si="73"/>
        <v>8</v>
      </c>
      <c r="H776" s="12" t="s">
        <v>1986</v>
      </c>
      <c r="I776" s="1" t="s">
        <v>53</v>
      </c>
      <c r="J776" s="1" t="s">
        <v>19</v>
      </c>
      <c r="K776" s="1" t="s">
        <v>20</v>
      </c>
      <c r="L776" s="1" t="s">
        <v>1559</v>
      </c>
      <c r="M776" s="10">
        <v>674.95</v>
      </c>
      <c r="N776" s="8">
        <v>5</v>
      </c>
      <c r="O776" s="6">
        <v>0.25</v>
      </c>
      <c r="P776" s="10">
        <v>469</v>
      </c>
      <c r="Q776" s="11">
        <f t="shared" si="74"/>
        <v>205.95000000000005</v>
      </c>
      <c r="R776" t="str">
        <f t="shared" si="77"/>
        <v>profit</v>
      </c>
    </row>
    <row r="777" spans="1:18" ht="15.75" customHeight="1" x14ac:dyDescent="0.4">
      <c r="A777" s="1" t="s">
        <v>1560</v>
      </c>
      <c r="B777" s="2">
        <v>45491</v>
      </c>
      <c r="C777" s="2">
        <v>45498</v>
      </c>
      <c r="D777" s="2" t="str">
        <f t="shared" si="75"/>
        <v>2024</v>
      </c>
      <c r="E777" s="2" t="str">
        <f t="shared" si="72"/>
        <v>July</v>
      </c>
      <c r="F777" s="2" t="str">
        <f t="shared" si="76"/>
        <v>Q3</v>
      </c>
      <c r="G777" s="13">
        <f t="shared" si="73"/>
        <v>7</v>
      </c>
      <c r="H777" s="12" t="s">
        <v>23</v>
      </c>
      <c r="I777" s="1" t="s">
        <v>18</v>
      </c>
      <c r="J777" s="1" t="s">
        <v>25</v>
      </c>
      <c r="K777" s="1" t="s">
        <v>26</v>
      </c>
      <c r="L777" s="1" t="s">
        <v>1561</v>
      </c>
      <c r="M777" s="10">
        <v>420.47</v>
      </c>
      <c r="N777" s="8">
        <v>3</v>
      </c>
      <c r="O777" s="6">
        <v>0.35</v>
      </c>
      <c r="P777" s="10">
        <v>226.72</v>
      </c>
      <c r="Q777" s="11">
        <f t="shared" si="74"/>
        <v>193.75000000000003</v>
      </c>
      <c r="R777" t="str">
        <f t="shared" si="77"/>
        <v>profit</v>
      </c>
    </row>
    <row r="778" spans="1:18" ht="15.75" customHeight="1" x14ac:dyDescent="0.4">
      <c r="A778" s="1" t="s">
        <v>1562</v>
      </c>
      <c r="B778" s="2">
        <v>45095</v>
      </c>
      <c r="C778" s="2">
        <v>45099</v>
      </c>
      <c r="D778" s="2" t="str">
        <f t="shared" si="75"/>
        <v>2023</v>
      </c>
      <c r="E778" s="2" t="str">
        <f t="shared" si="72"/>
        <v>June</v>
      </c>
      <c r="F778" s="2" t="str">
        <f t="shared" si="76"/>
        <v>Q3</v>
      </c>
      <c r="G778" s="13">
        <f t="shared" si="73"/>
        <v>4</v>
      </c>
      <c r="H778" s="12" t="s">
        <v>1987</v>
      </c>
      <c r="I778" s="1" t="s">
        <v>13</v>
      </c>
      <c r="J778" s="1" t="s">
        <v>14</v>
      </c>
      <c r="K778" s="1" t="s">
        <v>30</v>
      </c>
      <c r="L778" s="1" t="s">
        <v>1563</v>
      </c>
      <c r="M778" s="10">
        <v>395.85</v>
      </c>
      <c r="N778" s="8">
        <v>3</v>
      </c>
      <c r="O778" s="6">
        <v>0.4</v>
      </c>
      <c r="P778" s="10">
        <v>195.83</v>
      </c>
      <c r="Q778" s="11">
        <f t="shared" si="74"/>
        <v>200.02</v>
      </c>
      <c r="R778" t="str">
        <f t="shared" si="77"/>
        <v>profit</v>
      </c>
    </row>
    <row r="779" spans="1:18" ht="15.75" customHeight="1" x14ac:dyDescent="0.4">
      <c r="A779" s="1" t="s">
        <v>1564</v>
      </c>
      <c r="B779" s="2">
        <v>45453</v>
      </c>
      <c r="C779" s="2">
        <v>45458</v>
      </c>
      <c r="D779" s="2" t="str">
        <f t="shared" si="75"/>
        <v>2024</v>
      </c>
      <c r="E779" s="2" t="str">
        <f t="shared" si="72"/>
        <v>June</v>
      </c>
      <c r="F779" s="2" t="str">
        <f t="shared" si="76"/>
        <v>Q3</v>
      </c>
      <c r="G779" s="13">
        <f t="shared" si="73"/>
        <v>5</v>
      </c>
      <c r="H779" s="12" t="s">
        <v>42</v>
      </c>
      <c r="I779" s="1" t="s">
        <v>29</v>
      </c>
      <c r="J779" s="1" t="s">
        <v>25</v>
      </c>
      <c r="K779" s="1" t="s">
        <v>26</v>
      </c>
      <c r="L779" s="1" t="s">
        <v>1565</v>
      </c>
      <c r="M779" s="10">
        <v>86.35</v>
      </c>
      <c r="N779" s="8">
        <v>8</v>
      </c>
      <c r="O779" s="6">
        <v>0.24</v>
      </c>
      <c r="P779" s="10">
        <v>50</v>
      </c>
      <c r="Q779" s="11">
        <f t="shared" si="74"/>
        <v>36.349999999999994</v>
      </c>
      <c r="R779" t="str">
        <f t="shared" si="77"/>
        <v>profit</v>
      </c>
    </row>
    <row r="780" spans="1:18" ht="15.75" customHeight="1" x14ac:dyDescent="0.4">
      <c r="A780" s="1" t="s">
        <v>1566</v>
      </c>
      <c r="B780" s="2">
        <v>45436</v>
      </c>
      <c r="C780" s="2">
        <v>45445</v>
      </c>
      <c r="D780" s="2" t="str">
        <f t="shared" si="75"/>
        <v>2024</v>
      </c>
      <c r="E780" s="2" t="str">
        <f t="shared" si="72"/>
        <v>June</v>
      </c>
      <c r="F780" s="2" t="str">
        <f t="shared" si="76"/>
        <v>Q3</v>
      </c>
      <c r="G780" s="13">
        <f t="shared" si="73"/>
        <v>9</v>
      </c>
      <c r="H780" s="12" t="s">
        <v>1986</v>
      </c>
      <c r="I780" s="1" t="s">
        <v>13</v>
      </c>
      <c r="J780" s="1" t="s">
        <v>19</v>
      </c>
      <c r="K780" s="1" t="s">
        <v>35</v>
      </c>
      <c r="L780" s="1" t="s">
        <v>1567</v>
      </c>
      <c r="M780" s="10">
        <v>537.98</v>
      </c>
      <c r="N780" s="8">
        <v>1</v>
      </c>
      <c r="O780" s="6">
        <v>0.02</v>
      </c>
      <c r="P780" s="10">
        <v>516.02</v>
      </c>
      <c r="Q780" s="11">
        <f t="shared" si="74"/>
        <v>21.960000000000036</v>
      </c>
      <c r="R780" t="str">
        <f t="shared" si="77"/>
        <v>profit</v>
      </c>
    </row>
    <row r="781" spans="1:18" ht="15.75" customHeight="1" x14ac:dyDescent="0.4">
      <c r="A781" s="1" t="s">
        <v>1568</v>
      </c>
      <c r="B781" s="4" t="s">
        <v>1569</v>
      </c>
      <c r="C781" s="2">
        <v>45240</v>
      </c>
      <c r="D781" s="2" t="str">
        <f t="shared" si="75"/>
        <v>Not a Date</v>
      </c>
      <c r="E781" s="2" t="str">
        <f t="shared" si="72"/>
        <v>November</v>
      </c>
      <c r="F781" s="2" t="str">
        <f t="shared" si="76"/>
        <v>Q4</v>
      </c>
      <c r="G781" s="13" t="e">
        <f t="shared" si="73"/>
        <v>#VALUE!</v>
      </c>
      <c r="H781" s="12" t="s">
        <v>42</v>
      </c>
      <c r="I781" s="1" t="s">
        <v>59</v>
      </c>
      <c r="J781" s="1" t="s">
        <v>14</v>
      </c>
      <c r="K781" s="1" t="s">
        <v>30</v>
      </c>
      <c r="L781" s="1" t="s">
        <v>416</v>
      </c>
      <c r="M781" s="10">
        <v>702.3</v>
      </c>
      <c r="N781" s="8">
        <v>8</v>
      </c>
      <c r="O781" s="6">
        <v>0.31</v>
      </c>
      <c r="P781" s="10">
        <v>472.24</v>
      </c>
      <c r="Q781" s="11">
        <f t="shared" si="74"/>
        <v>230.05999999999995</v>
      </c>
      <c r="R781" t="str">
        <f t="shared" si="77"/>
        <v>profit</v>
      </c>
    </row>
    <row r="782" spans="1:18" ht="15.75" customHeight="1" x14ac:dyDescent="0.4">
      <c r="A782" s="1" t="s">
        <v>1570</v>
      </c>
      <c r="B782" s="2">
        <v>45236</v>
      </c>
      <c r="C782" s="2">
        <v>45244</v>
      </c>
      <c r="D782" s="2" t="str">
        <f t="shared" si="75"/>
        <v>2023</v>
      </c>
      <c r="E782" s="2" t="str">
        <f t="shared" si="72"/>
        <v>November</v>
      </c>
      <c r="F782" s="2" t="str">
        <f t="shared" si="76"/>
        <v>Q4</v>
      </c>
      <c r="G782" s="13">
        <f t="shared" si="73"/>
        <v>8</v>
      </c>
      <c r="H782" s="12" t="s">
        <v>1986</v>
      </c>
      <c r="I782" s="1" t="s">
        <v>50</v>
      </c>
      <c r="J782" s="1" t="s">
        <v>14</v>
      </c>
      <c r="K782" s="1" t="s">
        <v>30</v>
      </c>
      <c r="L782" s="1" t="s">
        <v>1571</v>
      </c>
      <c r="M782" s="10">
        <v>164.68</v>
      </c>
      <c r="N782" s="8">
        <v>10</v>
      </c>
      <c r="O782" s="6">
        <v>0.16</v>
      </c>
      <c r="P782" s="10">
        <v>97.73</v>
      </c>
      <c r="Q782" s="11">
        <f t="shared" si="74"/>
        <v>66.95</v>
      </c>
      <c r="R782" t="str">
        <f t="shared" si="77"/>
        <v>profit</v>
      </c>
    </row>
    <row r="783" spans="1:18" ht="15.75" customHeight="1" x14ac:dyDescent="0.4">
      <c r="A783" s="1" t="s">
        <v>1572</v>
      </c>
      <c r="B783" s="2">
        <v>45058</v>
      </c>
      <c r="C783" s="2">
        <v>45061</v>
      </c>
      <c r="D783" s="2" t="str">
        <f t="shared" si="75"/>
        <v>2023</v>
      </c>
      <c r="E783" s="2" t="str">
        <f t="shared" si="72"/>
        <v>May</v>
      </c>
      <c r="F783" s="2" t="str">
        <f t="shared" si="76"/>
        <v>Q2</v>
      </c>
      <c r="G783" s="13">
        <f t="shared" si="73"/>
        <v>3</v>
      </c>
      <c r="H783" s="12" t="s">
        <v>1987</v>
      </c>
      <c r="I783" s="1" t="s">
        <v>50</v>
      </c>
      <c r="J783" s="1" t="s">
        <v>25</v>
      </c>
      <c r="K783" s="1" t="s">
        <v>43</v>
      </c>
      <c r="L783" s="1" t="s">
        <v>1573</v>
      </c>
      <c r="M783" s="10">
        <v>631.76</v>
      </c>
      <c r="N783" s="8">
        <v>9</v>
      </c>
      <c r="O783" s="6">
        <v>0.45</v>
      </c>
      <c r="P783" s="10">
        <v>312.75</v>
      </c>
      <c r="Q783" s="11">
        <f t="shared" si="74"/>
        <v>319.01</v>
      </c>
      <c r="R783" t="str">
        <f t="shared" si="77"/>
        <v>profit</v>
      </c>
    </row>
    <row r="784" spans="1:18" ht="15.75" customHeight="1" x14ac:dyDescent="0.4">
      <c r="A784" s="1" t="s">
        <v>1574</v>
      </c>
      <c r="B784" s="2">
        <v>45002</v>
      </c>
      <c r="C784" s="2">
        <v>45004</v>
      </c>
      <c r="D784" s="2" t="str">
        <f t="shared" si="75"/>
        <v>2023</v>
      </c>
      <c r="E784" s="2" t="str">
        <f t="shared" si="72"/>
        <v>March</v>
      </c>
      <c r="F784" s="2" t="str">
        <f t="shared" si="76"/>
        <v>Q2</v>
      </c>
      <c r="G784" s="13">
        <f t="shared" si="73"/>
        <v>2</v>
      </c>
      <c r="H784" s="12" t="s">
        <v>23</v>
      </c>
      <c r="I784" s="1" t="s">
        <v>50</v>
      </c>
      <c r="J784" s="1" t="s">
        <v>25</v>
      </c>
      <c r="K784" s="1" t="s">
        <v>47</v>
      </c>
      <c r="L784" s="1" t="s">
        <v>1575</v>
      </c>
      <c r="M784" s="10">
        <v>771.63</v>
      </c>
      <c r="N784" s="8">
        <v>5</v>
      </c>
      <c r="O784" s="6">
        <v>0.4</v>
      </c>
      <c r="P784" s="10">
        <v>445.5</v>
      </c>
      <c r="Q784" s="11">
        <f t="shared" si="74"/>
        <v>326.13</v>
      </c>
      <c r="R784" t="str">
        <f t="shared" si="77"/>
        <v>profit</v>
      </c>
    </row>
    <row r="785" spans="1:18" ht="15.75" customHeight="1" x14ac:dyDescent="0.4">
      <c r="A785" s="1" t="s">
        <v>1576</v>
      </c>
      <c r="B785" s="2">
        <v>44921</v>
      </c>
      <c r="C785" s="2">
        <v>44927</v>
      </c>
      <c r="D785" s="2" t="str">
        <f t="shared" si="75"/>
        <v>2022</v>
      </c>
      <c r="E785" s="2" t="str">
        <f t="shared" si="72"/>
        <v>January</v>
      </c>
      <c r="F785" s="2" t="str">
        <f t="shared" si="76"/>
        <v>Q1</v>
      </c>
      <c r="G785" s="13">
        <f t="shared" si="73"/>
        <v>6</v>
      </c>
      <c r="H785" s="12" t="s">
        <v>1987</v>
      </c>
      <c r="I785" s="1" t="s">
        <v>50</v>
      </c>
      <c r="J785" s="1" t="s">
        <v>14</v>
      </c>
      <c r="K785" s="1" t="s">
        <v>30</v>
      </c>
      <c r="L785" s="1" t="s">
        <v>1577</v>
      </c>
      <c r="M785" s="10">
        <v>129.78</v>
      </c>
      <c r="N785" s="8">
        <v>7</v>
      </c>
      <c r="O785" s="6">
        <v>0.4</v>
      </c>
      <c r="P785" s="10">
        <v>56.32</v>
      </c>
      <c r="Q785" s="11">
        <f t="shared" si="74"/>
        <v>73.460000000000008</v>
      </c>
      <c r="R785" t="str">
        <f t="shared" si="77"/>
        <v>profit</v>
      </c>
    </row>
    <row r="786" spans="1:18" ht="15.75" customHeight="1" x14ac:dyDescent="0.4">
      <c r="A786" s="1" t="s">
        <v>1578</v>
      </c>
      <c r="B786" s="2">
        <v>44995</v>
      </c>
      <c r="C786" s="2">
        <v>44995</v>
      </c>
      <c r="D786" s="2" t="str">
        <f t="shared" si="75"/>
        <v>2023</v>
      </c>
      <c r="E786" s="2" t="str">
        <f t="shared" si="72"/>
        <v>March</v>
      </c>
      <c r="F786" s="2" t="str">
        <f t="shared" si="76"/>
        <v>Q2</v>
      </c>
      <c r="G786" s="13">
        <f t="shared" si="73"/>
        <v>0</v>
      </c>
      <c r="H786" s="12" t="s">
        <v>1986</v>
      </c>
      <c r="I786" s="1" t="s">
        <v>53</v>
      </c>
      <c r="J786" s="1" t="s">
        <v>25</v>
      </c>
      <c r="K786" s="1" t="s">
        <v>26</v>
      </c>
      <c r="L786" s="1" t="s">
        <v>1579</v>
      </c>
      <c r="M786" s="10">
        <v>452.89</v>
      </c>
      <c r="N786" s="8">
        <v>10</v>
      </c>
      <c r="O786" s="6">
        <v>0.12</v>
      </c>
      <c r="P786" s="10">
        <v>384.99</v>
      </c>
      <c r="Q786" s="11">
        <f t="shared" si="74"/>
        <v>67.899999999999977</v>
      </c>
      <c r="R786" t="str">
        <f t="shared" si="77"/>
        <v>profit</v>
      </c>
    </row>
    <row r="787" spans="1:18" ht="15.75" customHeight="1" x14ac:dyDescent="0.4">
      <c r="A787" s="1" t="s">
        <v>1580</v>
      </c>
      <c r="B787" s="2">
        <v>44943</v>
      </c>
      <c r="C787" s="2">
        <v>44950</v>
      </c>
      <c r="D787" s="2" t="str">
        <f t="shared" si="75"/>
        <v>2023</v>
      </c>
      <c r="E787" s="2" t="str">
        <f t="shared" si="72"/>
        <v>January</v>
      </c>
      <c r="F787" s="2" t="str">
        <f t="shared" si="76"/>
        <v>Q1</v>
      </c>
      <c r="G787" s="13">
        <f t="shared" si="73"/>
        <v>7</v>
      </c>
      <c r="H787" s="12" t="s">
        <v>1986</v>
      </c>
      <c r="I787" s="1" t="s">
        <v>29</v>
      </c>
      <c r="J787" s="1" t="s">
        <v>14</v>
      </c>
      <c r="K787" s="1" t="s">
        <v>15</v>
      </c>
      <c r="L787" s="1" t="s">
        <v>1581</v>
      </c>
      <c r="M787" s="10">
        <v>37.4</v>
      </c>
      <c r="N787" s="8">
        <v>5</v>
      </c>
      <c r="O787" s="6">
        <v>0.22</v>
      </c>
      <c r="P787" s="10">
        <v>-11.04</v>
      </c>
      <c r="Q787" s="11">
        <f t="shared" si="74"/>
        <v>48.44</v>
      </c>
      <c r="R787" t="str">
        <f t="shared" si="77"/>
        <v>loss</v>
      </c>
    </row>
    <row r="788" spans="1:18" ht="15.75" customHeight="1" x14ac:dyDescent="0.4">
      <c r="A788" s="1" t="s">
        <v>1582</v>
      </c>
      <c r="B788" s="2">
        <v>45295</v>
      </c>
      <c r="C788" s="2">
        <v>45296</v>
      </c>
      <c r="D788" s="2" t="str">
        <f t="shared" si="75"/>
        <v>2024</v>
      </c>
      <c r="E788" s="2" t="str">
        <f t="shared" si="72"/>
        <v>January</v>
      </c>
      <c r="F788" s="2" t="str">
        <f t="shared" si="76"/>
        <v>Q1</v>
      </c>
      <c r="G788" s="13">
        <f t="shared" si="73"/>
        <v>1</v>
      </c>
      <c r="H788" s="12" t="s">
        <v>1987</v>
      </c>
      <c r="I788" s="1" t="s">
        <v>29</v>
      </c>
      <c r="J788" s="1" t="s">
        <v>19</v>
      </c>
      <c r="K788" s="1" t="s">
        <v>35</v>
      </c>
      <c r="L788" s="1" t="s">
        <v>1583</v>
      </c>
      <c r="M788" s="10">
        <v>353.37</v>
      </c>
      <c r="N788" s="8">
        <v>8</v>
      </c>
      <c r="O788" s="6">
        <v>0.01</v>
      </c>
      <c r="P788" s="10">
        <v>336.46</v>
      </c>
      <c r="Q788" s="11">
        <f t="shared" si="74"/>
        <v>16.910000000000025</v>
      </c>
      <c r="R788" t="str">
        <f t="shared" si="77"/>
        <v>profit</v>
      </c>
    </row>
    <row r="789" spans="1:18" ht="15.75" customHeight="1" x14ac:dyDescent="0.4">
      <c r="A789" s="1" t="s">
        <v>1584</v>
      </c>
      <c r="B789" s="2">
        <v>45258</v>
      </c>
      <c r="C789" s="2">
        <v>45265</v>
      </c>
      <c r="D789" s="2" t="str">
        <f t="shared" si="75"/>
        <v>2023</v>
      </c>
      <c r="E789" s="2" t="str">
        <f t="shared" si="72"/>
        <v>December</v>
      </c>
      <c r="F789" s="2" t="str">
        <f t="shared" si="76"/>
        <v>Q4</v>
      </c>
      <c r="G789" s="13">
        <f t="shared" si="73"/>
        <v>7</v>
      </c>
      <c r="H789" s="12" t="s">
        <v>42</v>
      </c>
      <c r="I789" s="1" t="s">
        <v>29</v>
      </c>
      <c r="J789" s="1" t="s">
        <v>14</v>
      </c>
      <c r="K789" s="1" t="s">
        <v>54</v>
      </c>
      <c r="L789" s="1" t="s">
        <v>1585</v>
      </c>
      <c r="M789" s="10">
        <v>445.81</v>
      </c>
      <c r="N789" s="8">
        <v>7</v>
      </c>
      <c r="O789" s="6">
        <v>0.14000000000000001</v>
      </c>
      <c r="P789" s="10">
        <v>333.44</v>
      </c>
      <c r="Q789" s="11">
        <f t="shared" si="74"/>
        <v>112.37</v>
      </c>
      <c r="R789" t="str">
        <f t="shared" si="77"/>
        <v>profit</v>
      </c>
    </row>
    <row r="790" spans="1:18" ht="15.75" customHeight="1" x14ac:dyDescent="0.4">
      <c r="A790" s="1" t="s">
        <v>1586</v>
      </c>
      <c r="B790" s="2">
        <v>45012</v>
      </c>
      <c r="C790" s="2">
        <v>45015</v>
      </c>
      <c r="D790" s="2" t="str">
        <f t="shared" si="75"/>
        <v>2023</v>
      </c>
      <c r="E790" s="2" t="str">
        <f t="shared" si="72"/>
        <v>March</v>
      </c>
      <c r="F790" s="2" t="str">
        <f t="shared" si="76"/>
        <v>Q2</v>
      </c>
      <c r="G790" s="13">
        <f t="shared" si="73"/>
        <v>3</v>
      </c>
      <c r="H790" s="12" t="s">
        <v>23</v>
      </c>
      <c r="I790" s="1" t="s">
        <v>59</v>
      </c>
      <c r="J790" s="1" t="s">
        <v>19</v>
      </c>
      <c r="K790" s="1" t="s">
        <v>35</v>
      </c>
      <c r="L790" s="1" t="s">
        <v>1587</v>
      </c>
      <c r="M790" s="10">
        <v>208.92</v>
      </c>
      <c r="N790" s="8">
        <v>10</v>
      </c>
      <c r="O790" s="6">
        <v>0.13</v>
      </c>
      <c r="P790" s="10">
        <v>137.74</v>
      </c>
      <c r="Q790" s="11">
        <f t="shared" si="74"/>
        <v>71.179999999999978</v>
      </c>
      <c r="R790" t="str">
        <f t="shared" si="77"/>
        <v>profit</v>
      </c>
    </row>
    <row r="791" spans="1:18" ht="15.75" customHeight="1" x14ac:dyDescent="0.4">
      <c r="A791" s="1" t="s">
        <v>1588</v>
      </c>
      <c r="B791" s="2">
        <v>44922</v>
      </c>
      <c r="C791" s="2">
        <v>44930</v>
      </c>
      <c r="D791" s="2" t="str">
        <f t="shared" si="75"/>
        <v>2022</v>
      </c>
      <c r="E791" s="2" t="str">
        <f t="shared" si="72"/>
        <v>January</v>
      </c>
      <c r="F791" s="2" t="str">
        <f t="shared" si="76"/>
        <v>Q1</v>
      </c>
      <c r="G791" s="13">
        <f t="shared" si="73"/>
        <v>8</v>
      </c>
      <c r="H791" s="12" t="s">
        <v>42</v>
      </c>
      <c r="I791" s="1" t="s">
        <v>13</v>
      </c>
      <c r="J791" s="1" t="s">
        <v>25</v>
      </c>
      <c r="K791" s="1" t="s">
        <v>26</v>
      </c>
      <c r="L791" s="1" t="s">
        <v>1589</v>
      </c>
      <c r="M791" s="10">
        <v>559.32000000000005</v>
      </c>
      <c r="N791" s="8">
        <v>5</v>
      </c>
      <c r="O791" s="6">
        <v>0.37</v>
      </c>
      <c r="P791" s="10">
        <v>313.89999999999998</v>
      </c>
      <c r="Q791" s="11">
        <f t="shared" si="74"/>
        <v>245.42000000000007</v>
      </c>
      <c r="R791" t="str">
        <f t="shared" si="77"/>
        <v>profit</v>
      </c>
    </row>
    <row r="792" spans="1:18" ht="15.75" customHeight="1" x14ac:dyDescent="0.4">
      <c r="A792" s="1" t="s">
        <v>1590</v>
      </c>
      <c r="B792" s="2">
        <v>45299</v>
      </c>
      <c r="C792" s="2">
        <v>45305</v>
      </c>
      <c r="D792" s="2" t="str">
        <f t="shared" si="75"/>
        <v>2024</v>
      </c>
      <c r="E792" s="2" t="str">
        <f t="shared" si="72"/>
        <v>January</v>
      </c>
      <c r="F792" s="2" t="str">
        <f t="shared" si="76"/>
        <v>Q1</v>
      </c>
      <c r="G792" s="13">
        <f t="shared" si="73"/>
        <v>6</v>
      </c>
      <c r="H792" s="12" t="s">
        <v>23</v>
      </c>
      <c r="I792" s="1" t="s">
        <v>18</v>
      </c>
      <c r="J792" s="1" t="s">
        <v>14</v>
      </c>
      <c r="K792" s="1" t="s">
        <v>30</v>
      </c>
      <c r="L792" s="1" t="s">
        <v>1591</v>
      </c>
      <c r="M792" s="10">
        <v>577.44000000000005</v>
      </c>
      <c r="N792" s="8">
        <v>4</v>
      </c>
      <c r="O792" s="6">
        <v>0.28000000000000003</v>
      </c>
      <c r="P792" s="10">
        <v>371.02</v>
      </c>
      <c r="Q792" s="11">
        <f t="shared" si="74"/>
        <v>206.42000000000007</v>
      </c>
      <c r="R792" t="str">
        <f t="shared" si="77"/>
        <v>profit</v>
      </c>
    </row>
    <row r="793" spans="1:18" ht="15.75" customHeight="1" x14ac:dyDescent="0.4">
      <c r="A793" s="1" t="s">
        <v>1592</v>
      </c>
      <c r="B793" s="2">
        <v>45555</v>
      </c>
      <c r="C793" s="2">
        <v>45557</v>
      </c>
      <c r="D793" s="2" t="str">
        <f t="shared" si="75"/>
        <v>2024</v>
      </c>
      <c r="E793" s="2" t="str">
        <f t="shared" si="72"/>
        <v>September</v>
      </c>
      <c r="F793" s="2" t="str">
        <f t="shared" si="76"/>
        <v>Q4</v>
      </c>
      <c r="G793" s="13">
        <f t="shared" si="73"/>
        <v>2</v>
      </c>
      <c r="H793" s="12" t="s">
        <v>23</v>
      </c>
      <c r="I793" s="1" t="s">
        <v>53</v>
      </c>
      <c r="J793" s="1" t="s">
        <v>19</v>
      </c>
      <c r="K793" s="1" t="s">
        <v>35</v>
      </c>
      <c r="L793" s="1" t="s">
        <v>1593</v>
      </c>
      <c r="M793" s="10">
        <v>933.71</v>
      </c>
      <c r="N793" s="8">
        <v>9</v>
      </c>
      <c r="O793" s="6">
        <v>0.37</v>
      </c>
      <c r="P793" s="10">
        <v>564.28</v>
      </c>
      <c r="Q793" s="11">
        <f t="shared" si="74"/>
        <v>369.43000000000006</v>
      </c>
      <c r="R793" t="str">
        <f t="shared" si="77"/>
        <v>profit</v>
      </c>
    </row>
    <row r="794" spans="1:18" ht="15.75" customHeight="1" x14ac:dyDescent="0.4">
      <c r="A794" s="1" t="s">
        <v>1594</v>
      </c>
      <c r="B794" s="2">
        <v>45160</v>
      </c>
      <c r="C794" s="2">
        <v>45167</v>
      </c>
      <c r="D794" s="2" t="str">
        <f t="shared" si="75"/>
        <v>2023</v>
      </c>
      <c r="E794" s="2" t="str">
        <f t="shared" si="72"/>
        <v>August</v>
      </c>
      <c r="F794" s="2" t="str">
        <f t="shared" si="76"/>
        <v>Q3</v>
      </c>
      <c r="G794" s="13">
        <f t="shared" si="73"/>
        <v>7</v>
      </c>
      <c r="H794" s="12" t="s">
        <v>1986</v>
      </c>
      <c r="I794" s="1" t="s">
        <v>29</v>
      </c>
      <c r="J794" s="1" t="s">
        <v>19</v>
      </c>
      <c r="K794" s="1" t="s">
        <v>20</v>
      </c>
      <c r="L794" s="1" t="s">
        <v>1595</v>
      </c>
      <c r="M794" s="10">
        <v>133.4</v>
      </c>
      <c r="N794" s="8">
        <v>10</v>
      </c>
      <c r="O794" s="6">
        <v>0.47</v>
      </c>
      <c r="P794" s="10">
        <v>35.74</v>
      </c>
      <c r="Q794" s="11">
        <f t="shared" si="74"/>
        <v>97.66</v>
      </c>
      <c r="R794" t="str">
        <f t="shared" si="77"/>
        <v>profit</v>
      </c>
    </row>
    <row r="795" spans="1:18" ht="15.75" customHeight="1" x14ac:dyDescent="0.4">
      <c r="A795" s="1" t="s">
        <v>1596</v>
      </c>
      <c r="B795" s="2">
        <v>45054</v>
      </c>
      <c r="C795" s="2">
        <v>45057</v>
      </c>
      <c r="D795" s="2" t="str">
        <f t="shared" si="75"/>
        <v>2023</v>
      </c>
      <c r="E795" s="2" t="str">
        <f t="shared" si="72"/>
        <v>May</v>
      </c>
      <c r="F795" s="2" t="str">
        <f t="shared" si="76"/>
        <v>Q2</v>
      </c>
      <c r="G795" s="13">
        <f t="shared" si="73"/>
        <v>3</v>
      </c>
      <c r="H795" s="12" t="s">
        <v>1987</v>
      </c>
      <c r="I795" s="1" t="s">
        <v>50</v>
      </c>
      <c r="J795" s="1" t="s">
        <v>14</v>
      </c>
      <c r="K795" s="1" t="s">
        <v>54</v>
      </c>
      <c r="L795" s="1" t="s">
        <v>1597</v>
      </c>
      <c r="M795" s="10">
        <v>132.96</v>
      </c>
      <c r="N795" s="8">
        <v>5</v>
      </c>
      <c r="O795" s="6">
        <v>-0.25</v>
      </c>
      <c r="P795" s="10">
        <v>73.72</v>
      </c>
      <c r="Q795" s="11">
        <f t="shared" si="74"/>
        <v>59.240000000000009</v>
      </c>
      <c r="R795" t="str">
        <f t="shared" si="77"/>
        <v>profit</v>
      </c>
    </row>
    <row r="796" spans="1:18" ht="15.75" customHeight="1" x14ac:dyDescent="0.4">
      <c r="A796" s="1" t="s">
        <v>1598</v>
      </c>
      <c r="B796" s="2">
        <v>44977</v>
      </c>
      <c r="C796" s="2">
        <v>44978</v>
      </c>
      <c r="D796" s="2" t="str">
        <f t="shared" si="75"/>
        <v>2023</v>
      </c>
      <c r="E796" s="2" t="str">
        <f t="shared" si="72"/>
        <v>February</v>
      </c>
      <c r="F796" s="2" t="str">
        <f t="shared" si="76"/>
        <v>Q1</v>
      </c>
      <c r="G796" s="13">
        <f t="shared" si="73"/>
        <v>1</v>
      </c>
      <c r="H796" s="12" t="s">
        <v>23</v>
      </c>
      <c r="I796" s="1" t="s">
        <v>18</v>
      </c>
      <c r="J796" s="1" t="s">
        <v>19</v>
      </c>
      <c r="K796" s="1" t="s">
        <v>35</v>
      </c>
      <c r="L796" s="1" t="s">
        <v>1599</v>
      </c>
      <c r="M796" s="10">
        <v>949.53</v>
      </c>
      <c r="N796" s="8">
        <v>5</v>
      </c>
      <c r="O796" s="6">
        <v>0.36</v>
      </c>
      <c r="P796" s="10">
        <v>583.5</v>
      </c>
      <c r="Q796" s="11">
        <f t="shared" si="74"/>
        <v>366.03</v>
      </c>
      <c r="R796" t="str">
        <f t="shared" si="77"/>
        <v>profit</v>
      </c>
    </row>
    <row r="797" spans="1:18" ht="15.75" customHeight="1" x14ac:dyDescent="0.4">
      <c r="A797" s="1" t="s">
        <v>1600</v>
      </c>
      <c r="B797" s="2">
        <v>45585</v>
      </c>
      <c r="C797" s="2">
        <v>45586</v>
      </c>
      <c r="D797" s="2" t="str">
        <f t="shared" si="75"/>
        <v>2024</v>
      </c>
      <c r="E797" s="2" t="str">
        <f t="shared" si="72"/>
        <v>October</v>
      </c>
      <c r="F797" s="2" t="str">
        <f t="shared" si="76"/>
        <v>Q4</v>
      </c>
      <c r="G797" s="13">
        <f t="shared" si="73"/>
        <v>1</v>
      </c>
      <c r="H797" s="12" t="s">
        <v>1987</v>
      </c>
      <c r="I797" s="1" t="s">
        <v>59</v>
      </c>
      <c r="J797" s="1" t="s">
        <v>14</v>
      </c>
      <c r="K797" s="1" t="s">
        <v>30</v>
      </c>
      <c r="L797" s="1" t="s">
        <v>1601</v>
      </c>
      <c r="M797" s="10">
        <v>295.60000000000002</v>
      </c>
      <c r="N797" s="8">
        <v>9</v>
      </c>
      <c r="O797" s="6">
        <v>0.13</v>
      </c>
      <c r="P797" s="10">
        <v>227.61</v>
      </c>
      <c r="Q797" s="11">
        <f t="shared" si="74"/>
        <v>67.990000000000009</v>
      </c>
      <c r="R797" t="str">
        <f t="shared" si="77"/>
        <v>profit</v>
      </c>
    </row>
    <row r="798" spans="1:18" ht="15.75" customHeight="1" x14ac:dyDescent="0.4">
      <c r="A798" s="1" t="s">
        <v>1602</v>
      </c>
      <c r="B798" s="2">
        <v>45030</v>
      </c>
      <c r="C798" s="2">
        <v>45039</v>
      </c>
      <c r="D798" s="2" t="str">
        <f t="shared" si="75"/>
        <v>2023</v>
      </c>
      <c r="E798" s="2" t="str">
        <f t="shared" si="72"/>
        <v>April</v>
      </c>
      <c r="F798" s="2" t="str">
        <f t="shared" si="76"/>
        <v>Q2</v>
      </c>
      <c r="G798" s="13">
        <f t="shared" si="73"/>
        <v>9</v>
      </c>
      <c r="H798" s="12" t="s">
        <v>1986</v>
      </c>
      <c r="I798" s="1" t="s">
        <v>24</v>
      </c>
      <c r="J798" s="1" t="s">
        <v>14</v>
      </c>
      <c r="K798" s="1" t="s">
        <v>54</v>
      </c>
      <c r="L798" s="1" t="s">
        <v>1603</v>
      </c>
      <c r="M798" s="10">
        <v>241.33</v>
      </c>
      <c r="N798" s="8">
        <v>9</v>
      </c>
      <c r="O798" s="6">
        <v>0.45</v>
      </c>
      <c r="P798" s="10">
        <v>85.16</v>
      </c>
      <c r="Q798" s="11">
        <f t="shared" si="74"/>
        <v>156.17000000000002</v>
      </c>
      <c r="R798" t="str">
        <f t="shared" si="77"/>
        <v>profit</v>
      </c>
    </row>
    <row r="799" spans="1:18" ht="15.75" customHeight="1" x14ac:dyDescent="0.4">
      <c r="A799" s="1" t="s">
        <v>1604</v>
      </c>
      <c r="B799" s="2">
        <v>45044</v>
      </c>
      <c r="C799" s="2">
        <v>45050</v>
      </c>
      <c r="D799" s="2" t="str">
        <f t="shared" si="75"/>
        <v>2023</v>
      </c>
      <c r="E799" s="2" t="str">
        <f t="shared" si="72"/>
        <v>May</v>
      </c>
      <c r="F799" s="2" t="str">
        <f t="shared" si="76"/>
        <v>Q2</v>
      </c>
      <c r="G799" s="13">
        <f t="shared" si="73"/>
        <v>6</v>
      </c>
      <c r="H799" s="12" t="s">
        <v>23</v>
      </c>
      <c r="I799" s="1" t="s">
        <v>59</v>
      </c>
      <c r="J799" s="1" t="s">
        <v>14</v>
      </c>
      <c r="K799" s="1" t="s">
        <v>54</v>
      </c>
      <c r="L799" s="1" t="s">
        <v>1605</v>
      </c>
      <c r="M799" s="10">
        <v>690.3</v>
      </c>
      <c r="N799" s="8">
        <v>7</v>
      </c>
      <c r="O799" s="6">
        <v>0.19</v>
      </c>
      <c r="P799" s="10">
        <v>528.42999999999995</v>
      </c>
      <c r="Q799" s="11">
        <f t="shared" si="74"/>
        <v>161.87</v>
      </c>
      <c r="R799" t="str">
        <f t="shared" si="77"/>
        <v>profit</v>
      </c>
    </row>
    <row r="800" spans="1:18" ht="15.75" customHeight="1" x14ac:dyDescent="0.4">
      <c r="A800" s="3" t="s">
        <v>1606</v>
      </c>
      <c r="B800" s="2">
        <v>44942</v>
      </c>
      <c r="C800" s="2">
        <v>44951</v>
      </c>
      <c r="D800" s="2" t="str">
        <f t="shared" si="75"/>
        <v>2023</v>
      </c>
      <c r="E800" s="2" t="str">
        <f t="shared" si="72"/>
        <v>January</v>
      </c>
      <c r="F800" s="2" t="str">
        <f t="shared" si="76"/>
        <v>Q1</v>
      </c>
      <c r="G800" s="13">
        <f t="shared" si="73"/>
        <v>9</v>
      </c>
      <c r="H800" s="12" t="s">
        <v>42</v>
      </c>
      <c r="I800" s="1" t="s">
        <v>24</v>
      </c>
      <c r="J800" s="1" t="s">
        <v>19</v>
      </c>
      <c r="K800" s="1" t="s">
        <v>92</v>
      </c>
      <c r="L800" s="1" t="s">
        <v>1607</v>
      </c>
      <c r="M800" s="10">
        <v>645.16999999999996</v>
      </c>
      <c r="N800" s="8">
        <v>8</v>
      </c>
      <c r="O800" s="6">
        <v>0.14000000000000001</v>
      </c>
      <c r="P800" s="10">
        <v>517.42999999999995</v>
      </c>
      <c r="Q800" s="11">
        <f t="shared" si="74"/>
        <v>127.74000000000001</v>
      </c>
      <c r="R800" t="str">
        <f t="shared" si="77"/>
        <v>profit</v>
      </c>
    </row>
    <row r="801" spans="1:18" ht="15.75" customHeight="1" x14ac:dyDescent="0.4">
      <c r="A801" s="1" t="s">
        <v>1608</v>
      </c>
      <c r="B801" s="2">
        <v>45180</v>
      </c>
      <c r="C801" s="2">
        <v>45186</v>
      </c>
      <c r="D801" s="2" t="str">
        <f t="shared" si="75"/>
        <v>2023</v>
      </c>
      <c r="E801" s="2" t="str">
        <f t="shared" si="72"/>
        <v>September</v>
      </c>
      <c r="F801" s="2" t="str">
        <f t="shared" si="76"/>
        <v>Q4</v>
      </c>
      <c r="G801" s="13">
        <f t="shared" si="73"/>
        <v>6</v>
      </c>
      <c r="H801" s="12" t="s">
        <v>23</v>
      </c>
      <c r="I801" s="1" t="s">
        <v>59</v>
      </c>
      <c r="J801" s="1" t="s">
        <v>14</v>
      </c>
      <c r="K801" s="1" t="s">
        <v>15</v>
      </c>
      <c r="L801" s="1" t="s">
        <v>1609</v>
      </c>
      <c r="M801" s="10">
        <v>535.83000000000004</v>
      </c>
      <c r="N801" s="8">
        <v>4</v>
      </c>
      <c r="O801" s="6">
        <v>0.32</v>
      </c>
      <c r="P801" s="10">
        <v>340.62</v>
      </c>
      <c r="Q801" s="11">
        <f t="shared" si="74"/>
        <v>195.21000000000004</v>
      </c>
      <c r="R801" t="str">
        <f t="shared" si="77"/>
        <v>profit</v>
      </c>
    </row>
    <row r="802" spans="1:18" ht="15.75" customHeight="1" x14ac:dyDescent="0.4">
      <c r="A802" s="1" t="s">
        <v>1610</v>
      </c>
      <c r="B802" s="2">
        <v>45326</v>
      </c>
      <c r="C802" s="2">
        <v>45330</v>
      </c>
      <c r="D802" s="2" t="str">
        <f t="shared" si="75"/>
        <v>2024</v>
      </c>
      <c r="E802" s="2" t="str">
        <f t="shared" si="72"/>
        <v>February</v>
      </c>
      <c r="F802" s="2" t="str">
        <f t="shared" si="76"/>
        <v>Q1</v>
      </c>
      <c r="G802" s="13">
        <f t="shared" si="73"/>
        <v>4</v>
      </c>
      <c r="H802" s="12" t="s">
        <v>23</v>
      </c>
      <c r="I802" s="1" t="s">
        <v>29</v>
      </c>
      <c r="J802" s="1" t="s">
        <v>25</v>
      </c>
      <c r="K802" s="1" t="s">
        <v>43</v>
      </c>
      <c r="L802" s="1" t="s">
        <v>1611</v>
      </c>
      <c r="M802" s="10">
        <v>511.48</v>
      </c>
      <c r="N802" s="8">
        <v>7</v>
      </c>
      <c r="O802" s="6">
        <v>0.46</v>
      </c>
      <c r="P802" s="10">
        <v>243.55</v>
      </c>
      <c r="Q802" s="11">
        <f t="shared" si="74"/>
        <v>267.93</v>
      </c>
      <c r="R802" t="str">
        <f t="shared" si="77"/>
        <v>profit</v>
      </c>
    </row>
    <row r="803" spans="1:18" ht="15.75" customHeight="1" x14ac:dyDescent="0.4">
      <c r="A803" s="1" t="s">
        <v>1612</v>
      </c>
      <c r="B803" s="2">
        <v>45074</v>
      </c>
      <c r="C803" s="2">
        <v>45081</v>
      </c>
      <c r="D803" s="2" t="str">
        <f t="shared" si="75"/>
        <v>2023</v>
      </c>
      <c r="E803" s="2" t="str">
        <f t="shared" si="72"/>
        <v>June</v>
      </c>
      <c r="F803" s="2" t="str">
        <f t="shared" si="76"/>
        <v>Q3</v>
      </c>
      <c r="G803" s="13">
        <f t="shared" si="73"/>
        <v>7</v>
      </c>
      <c r="H803" s="12" t="s">
        <v>1986</v>
      </c>
      <c r="I803" s="1" t="s">
        <v>24</v>
      </c>
      <c r="J803" s="1" t="s">
        <v>19</v>
      </c>
      <c r="K803" s="1" t="s">
        <v>35</v>
      </c>
      <c r="L803" s="1" t="s">
        <v>1613</v>
      </c>
      <c r="M803" s="10">
        <v>715.17</v>
      </c>
      <c r="N803" s="8">
        <v>8</v>
      </c>
      <c r="O803" s="6">
        <v>0.27</v>
      </c>
      <c r="P803" s="10">
        <v>506.11</v>
      </c>
      <c r="Q803" s="11">
        <f t="shared" si="74"/>
        <v>209.05999999999995</v>
      </c>
      <c r="R803" t="str">
        <f t="shared" si="77"/>
        <v>profit</v>
      </c>
    </row>
    <row r="804" spans="1:18" ht="15.75" customHeight="1" x14ac:dyDescent="0.4">
      <c r="A804" s="1" t="s">
        <v>1614</v>
      </c>
      <c r="C804" s="2">
        <v>45110</v>
      </c>
      <c r="D804" s="2" t="str">
        <f t="shared" si="75"/>
        <v/>
      </c>
      <c r="E804" s="2" t="str">
        <f t="shared" si="72"/>
        <v>July</v>
      </c>
      <c r="F804" s="2" t="str">
        <f t="shared" si="76"/>
        <v>Q3</v>
      </c>
      <c r="G804" s="13">
        <f t="shared" si="73"/>
        <v>45110</v>
      </c>
      <c r="H804" s="12" t="s">
        <v>1988</v>
      </c>
      <c r="I804" s="1" t="s">
        <v>50</v>
      </c>
      <c r="J804" s="1" t="s">
        <v>14</v>
      </c>
      <c r="K804" s="1" t="s">
        <v>15</v>
      </c>
      <c r="L804" s="1" t="s">
        <v>1615</v>
      </c>
      <c r="M804" s="11" t="s">
        <v>1989</v>
      </c>
      <c r="N804" s="8">
        <v>4</v>
      </c>
      <c r="O804" s="6">
        <v>0.13</v>
      </c>
      <c r="P804" s="10">
        <v>429.29</v>
      </c>
      <c r="Q804" s="11" t="e">
        <f t="shared" si="74"/>
        <v>#VALUE!</v>
      </c>
      <c r="R804" t="str">
        <f t="shared" si="77"/>
        <v>profit</v>
      </c>
    </row>
    <row r="805" spans="1:18" ht="15.75" customHeight="1" x14ac:dyDescent="0.4">
      <c r="A805" s="1" t="s">
        <v>1616</v>
      </c>
      <c r="B805" s="2">
        <v>45517</v>
      </c>
      <c r="C805" s="2">
        <v>45523</v>
      </c>
      <c r="D805" s="2" t="str">
        <f t="shared" si="75"/>
        <v>2024</v>
      </c>
      <c r="E805" s="2" t="str">
        <f t="shared" si="72"/>
        <v>August</v>
      </c>
      <c r="F805" s="2" t="str">
        <f t="shared" si="76"/>
        <v>Q3</v>
      </c>
      <c r="G805" s="13">
        <f t="shared" si="73"/>
        <v>6</v>
      </c>
      <c r="H805" s="12" t="s">
        <v>1986</v>
      </c>
      <c r="I805" s="1" t="s">
        <v>53</v>
      </c>
      <c r="J805" s="1" t="s">
        <v>25</v>
      </c>
      <c r="K805" s="1" t="s">
        <v>43</v>
      </c>
      <c r="L805" s="1" t="s">
        <v>1617</v>
      </c>
      <c r="M805" s="10">
        <v>869.3</v>
      </c>
      <c r="N805" s="8">
        <v>4</v>
      </c>
      <c r="O805" s="6">
        <v>0.14000000000000001</v>
      </c>
      <c r="P805" s="10">
        <v>727.84</v>
      </c>
      <c r="Q805" s="11">
        <f t="shared" si="74"/>
        <v>141.45999999999992</v>
      </c>
      <c r="R805" t="str">
        <f t="shared" si="77"/>
        <v>profit</v>
      </c>
    </row>
    <row r="806" spans="1:18" ht="15.75" customHeight="1" x14ac:dyDescent="0.4">
      <c r="A806" s="1" t="s">
        <v>1618</v>
      </c>
      <c r="B806" s="2">
        <v>45032</v>
      </c>
      <c r="C806" s="2">
        <v>45039</v>
      </c>
      <c r="D806" s="2" t="str">
        <f t="shared" si="75"/>
        <v>2023</v>
      </c>
      <c r="E806" s="2" t="str">
        <f t="shared" si="72"/>
        <v>April</v>
      </c>
      <c r="F806" s="2" t="str">
        <f t="shared" si="76"/>
        <v>Q2</v>
      </c>
      <c r="G806" s="13">
        <f t="shared" si="73"/>
        <v>7</v>
      </c>
      <c r="H806" s="12" t="s">
        <v>23</v>
      </c>
      <c r="I806" s="1" t="s">
        <v>50</v>
      </c>
      <c r="J806" s="1" t="s">
        <v>25</v>
      </c>
      <c r="K806" s="1" t="s">
        <v>43</v>
      </c>
      <c r="L806" s="1" t="s">
        <v>1619</v>
      </c>
      <c r="M806" s="10">
        <v>129.35</v>
      </c>
      <c r="N806" s="8">
        <v>2</v>
      </c>
      <c r="O806" s="6">
        <v>0.5</v>
      </c>
      <c r="P806" s="10">
        <v>19.54</v>
      </c>
      <c r="Q806" s="11">
        <f t="shared" si="74"/>
        <v>109.81</v>
      </c>
      <c r="R806" t="str">
        <f t="shared" si="77"/>
        <v>profit</v>
      </c>
    </row>
    <row r="807" spans="1:18" ht="15.75" customHeight="1" x14ac:dyDescent="0.4">
      <c r="A807" s="1" t="s">
        <v>1620</v>
      </c>
      <c r="B807" s="2">
        <v>45434</v>
      </c>
      <c r="C807" s="2">
        <v>45440</v>
      </c>
      <c r="D807" s="2" t="str">
        <f t="shared" si="75"/>
        <v>2024</v>
      </c>
      <c r="E807" s="2" t="str">
        <f t="shared" si="72"/>
        <v>May</v>
      </c>
      <c r="F807" s="2" t="str">
        <f t="shared" si="76"/>
        <v>Q2</v>
      </c>
      <c r="G807" s="13">
        <f t="shared" si="73"/>
        <v>6</v>
      </c>
      <c r="H807" s="12" t="s">
        <v>23</v>
      </c>
      <c r="I807" s="1" t="s">
        <v>13</v>
      </c>
      <c r="J807" s="1" t="s">
        <v>25</v>
      </c>
      <c r="K807" s="1" t="s">
        <v>26</v>
      </c>
      <c r="L807" s="1" t="s">
        <v>1621</v>
      </c>
      <c r="M807" s="10">
        <v>582.46</v>
      </c>
      <c r="N807" s="8">
        <v>10</v>
      </c>
      <c r="O807" s="6">
        <v>0.39</v>
      </c>
      <c r="P807" s="10">
        <v>342.62</v>
      </c>
      <c r="Q807" s="11">
        <f t="shared" si="74"/>
        <v>239.84000000000003</v>
      </c>
      <c r="R807" t="str">
        <f t="shared" si="77"/>
        <v>profit</v>
      </c>
    </row>
    <row r="808" spans="1:18" ht="15.75" customHeight="1" x14ac:dyDescent="0.4">
      <c r="A808" s="1" t="s">
        <v>1622</v>
      </c>
      <c r="B808" s="2">
        <v>45279</v>
      </c>
      <c r="C808" s="2">
        <v>45281</v>
      </c>
      <c r="D808" s="2" t="str">
        <f t="shared" si="75"/>
        <v>2023</v>
      </c>
      <c r="E808" s="2" t="str">
        <f t="shared" si="72"/>
        <v>December</v>
      </c>
      <c r="F808" s="2" t="str">
        <f t="shared" si="76"/>
        <v>Q4</v>
      </c>
      <c r="G808" s="13">
        <f t="shared" si="73"/>
        <v>2</v>
      </c>
      <c r="H808" s="12" t="s">
        <v>42</v>
      </c>
      <c r="I808" s="1" t="s">
        <v>46</v>
      </c>
      <c r="J808" s="1" t="s">
        <v>25</v>
      </c>
      <c r="K808" s="1" t="s">
        <v>26</v>
      </c>
      <c r="L808" s="1" t="s">
        <v>1623</v>
      </c>
      <c r="M808" s="10">
        <v>299.64</v>
      </c>
      <c r="N808" s="8">
        <v>2</v>
      </c>
      <c r="O808" s="6">
        <v>0.32</v>
      </c>
      <c r="P808" s="10">
        <v>188.43</v>
      </c>
      <c r="Q808" s="11">
        <f t="shared" si="74"/>
        <v>111.20999999999998</v>
      </c>
      <c r="R808" t="str">
        <f t="shared" si="77"/>
        <v>profit</v>
      </c>
    </row>
    <row r="809" spans="1:18" ht="15.75" customHeight="1" x14ac:dyDescent="0.4">
      <c r="A809" s="1" t="s">
        <v>1624</v>
      </c>
      <c r="B809" s="2">
        <v>45433</v>
      </c>
      <c r="C809" s="2">
        <v>45442</v>
      </c>
      <c r="D809" s="2" t="str">
        <f t="shared" si="75"/>
        <v>2024</v>
      </c>
      <c r="E809" s="2" t="str">
        <f t="shared" si="72"/>
        <v>May</v>
      </c>
      <c r="F809" s="2" t="str">
        <f t="shared" si="76"/>
        <v>Q2</v>
      </c>
      <c r="G809" s="13">
        <f t="shared" si="73"/>
        <v>9</v>
      </c>
      <c r="H809" s="12" t="s">
        <v>1987</v>
      </c>
      <c r="I809" s="1" t="s">
        <v>13</v>
      </c>
      <c r="J809" s="1" t="s">
        <v>25</v>
      </c>
      <c r="K809" s="1" t="s">
        <v>26</v>
      </c>
      <c r="L809" s="1" t="s">
        <v>86</v>
      </c>
      <c r="M809" s="10">
        <v>933.28</v>
      </c>
      <c r="N809" s="8">
        <v>2</v>
      </c>
      <c r="O809" s="6">
        <v>0.06</v>
      </c>
      <c r="P809" s="10">
        <v>834.75</v>
      </c>
      <c r="Q809" s="11">
        <f t="shared" si="74"/>
        <v>98.529999999999973</v>
      </c>
      <c r="R809" t="str">
        <f t="shared" si="77"/>
        <v>profit</v>
      </c>
    </row>
    <row r="810" spans="1:18" ht="15.75" customHeight="1" x14ac:dyDescent="0.4">
      <c r="A810" s="1" t="s">
        <v>1625</v>
      </c>
      <c r="B810" s="2">
        <v>45572</v>
      </c>
      <c r="C810" s="2">
        <v>45577</v>
      </c>
      <c r="D810" s="2" t="str">
        <f t="shared" si="75"/>
        <v>2024</v>
      </c>
      <c r="E810" s="2" t="str">
        <f t="shared" si="72"/>
        <v>October</v>
      </c>
      <c r="F810" s="2" t="str">
        <f t="shared" si="76"/>
        <v>Q4</v>
      </c>
      <c r="G810" s="13">
        <f t="shared" si="73"/>
        <v>5</v>
      </c>
      <c r="H810" s="12" t="s">
        <v>1986</v>
      </c>
      <c r="I810" s="1" t="s">
        <v>50</v>
      </c>
      <c r="J810" s="1" t="s">
        <v>14</v>
      </c>
      <c r="K810" s="1" t="s">
        <v>54</v>
      </c>
      <c r="L810" s="1" t="s">
        <v>1626</v>
      </c>
      <c r="M810" s="10">
        <v>278.16000000000003</v>
      </c>
      <c r="N810" s="8">
        <v>3</v>
      </c>
      <c r="O810" s="6">
        <v>0.03</v>
      </c>
      <c r="P810" s="10">
        <v>249.64</v>
      </c>
      <c r="Q810" s="11">
        <f t="shared" si="74"/>
        <v>28.520000000000039</v>
      </c>
      <c r="R810" t="str">
        <f t="shared" si="77"/>
        <v>profit</v>
      </c>
    </row>
    <row r="811" spans="1:18" ht="15.75" customHeight="1" x14ac:dyDescent="0.4">
      <c r="A811" s="1" t="s">
        <v>1627</v>
      </c>
      <c r="B811" s="2">
        <v>45326</v>
      </c>
      <c r="C811" s="2">
        <v>45328</v>
      </c>
      <c r="D811" s="2" t="str">
        <f t="shared" si="75"/>
        <v>2024</v>
      </c>
      <c r="E811" s="2" t="str">
        <f t="shared" si="72"/>
        <v>February</v>
      </c>
      <c r="F811" s="2" t="str">
        <f t="shared" si="76"/>
        <v>Q1</v>
      </c>
      <c r="G811" s="13">
        <f t="shared" si="73"/>
        <v>2</v>
      </c>
      <c r="H811" s="12" t="s">
        <v>42</v>
      </c>
      <c r="I811" s="1" t="s">
        <v>29</v>
      </c>
      <c r="J811" s="1" t="s">
        <v>14</v>
      </c>
      <c r="K811" s="1" t="s">
        <v>15</v>
      </c>
      <c r="L811" s="1" t="s">
        <v>1628</v>
      </c>
      <c r="M811" s="10">
        <v>666.98</v>
      </c>
      <c r="N811" s="8">
        <v>2</v>
      </c>
      <c r="O811" s="6">
        <v>0.08</v>
      </c>
      <c r="P811" s="10">
        <v>577.66</v>
      </c>
      <c r="Q811" s="11">
        <f t="shared" si="74"/>
        <v>89.32000000000005</v>
      </c>
      <c r="R811" t="str">
        <f t="shared" si="77"/>
        <v>profit</v>
      </c>
    </row>
    <row r="812" spans="1:18" ht="15.75" customHeight="1" x14ac:dyDescent="0.4">
      <c r="A812" s="1" t="s">
        <v>1629</v>
      </c>
      <c r="B812" s="2">
        <v>45127</v>
      </c>
      <c r="C812" s="2">
        <v>45136</v>
      </c>
      <c r="D812" s="2" t="str">
        <f t="shared" si="75"/>
        <v>2023</v>
      </c>
      <c r="E812" s="2" t="str">
        <f t="shared" si="72"/>
        <v>July</v>
      </c>
      <c r="F812" s="2" t="str">
        <f t="shared" si="76"/>
        <v>Q3</v>
      </c>
      <c r="G812" s="13">
        <f t="shared" si="73"/>
        <v>9</v>
      </c>
      <c r="H812" s="12" t="s">
        <v>1986</v>
      </c>
      <c r="I812" s="1" t="s">
        <v>29</v>
      </c>
      <c r="J812" s="1" t="s">
        <v>19</v>
      </c>
      <c r="K812" s="1" t="s">
        <v>20</v>
      </c>
      <c r="L812" s="1" t="s">
        <v>1630</v>
      </c>
      <c r="M812" s="10">
        <v>598.67999999999995</v>
      </c>
      <c r="N812" s="8">
        <v>1</v>
      </c>
      <c r="O812" s="6">
        <v>0.39</v>
      </c>
      <c r="P812" s="10">
        <v>349.25</v>
      </c>
      <c r="Q812" s="11">
        <f t="shared" si="74"/>
        <v>249.42999999999995</v>
      </c>
      <c r="R812" t="str">
        <f t="shared" si="77"/>
        <v>profit</v>
      </c>
    </row>
    <row r="813" spans="1:18" ht="15.75" customHeight="1" x14ac:dyDescent="0.4">
      <c r="A813" s="1" t="s">
        <v>1631</v>
      </c>
      <c r="B813" s="2">
        <v>45028</v>
      </c>
      <c r="C813" s="2">
        <v>45036</v>
      </c>
      <c r="D813" s="2" t="str">
        <f t="shared" si="75"/>
        <v>2023</v>
      </c>
      <c r="E813" s="2" t="str">
        <f t="shared" si="72"/>
        <v>April</v>
      </c>
      <c r="F813" s="2" t="str">
        <f t="shared" si="76"/>
        <v>Q2</v>
      </c>
      <c r="G813" s="13">
        <f t="shared" si="73"/>
        <v>8</v>
      </c>
      <c r="H813" s="12" t="s">
        <v>1986</v>
      </c>
      <c r="I813" s="1" t="s">
        <v>59</v>
      </c>
      <c r="J813" s="1" t="s">
        <v>19</v>
      </c>
      <c r="K813" s="1" t="s">
        <v>35</v>
      </c>
      <c r="L813" s="1" t="s">
        <v>1406</v>
      </c>
      <c r="M813" s="10">
        <v>47.32</v>
      </c>
      <c r="N813" s="8">
        <v>10</v>
      </c>
      <c r="O813" s="6">
        <v>0.35</v>
      </c>
      <c r="P813" s="10">
        <v>-10.5</v>
      </c>
      <c r="Q813" s="11">
        <f t="shared" si="74"/>
        <v>57.82</v>
      </c>
      <c r="R813" t="str">
        <f t="shared" si="77"/>
        <v>loss</v>
      </c>
    </row>
    <row r="814" spans="1:18" ht="15.75" customHeight="1" x14ac:dyDescent="0.4">
      <c r="A814" s="1" t="s">
        <v>1632</v>
      </c>
      <c r="B814" s="2">
        <v>45158</v>
      </c>
      <c r="C814" s="2">
        <v>45158</v>
      </c>
      <c r="D814" s="2" t="str">
        <f t="shared" si="75"/>
        <v>2023</v>
      </c>
      <c r="E814" s="2" t="str">
        <f t="shared" si="72"/>
        <v>August</v>
      </c>
      <c r="F814" s="2" t="str">
        <f t="shared" si="76"/>
        <v>Q3</v>
      </c>
      <c r="G814" s="13">
        <f t="shared" si="73"/>
        <v>0</v>
      </c>
      <c r="H814" s="12" t="s">
        <v>42</v>
      </c>
      <c r="I814" s="1" t="s">
        <v>29</v>
      </c>
      <c r="J814" s="1" t="s">
        <v>25</v>
      </c>
      <c r="K814" s="1" t="s">
        <v>43</v>
      </c>
      <c r="L814" s="1" t="s">
        <v>1072</v>
      </c>
      <c r="M814" s="10">
        <v>699.65</v>
      </c>
      <c r="N814" s="8">
        <v>6</v>
      </c>
      <c r="O814" s="6">
        <v>0.23</v>
      </c>
      <c r="P814" s="10">
        <v>522.33000000000004</v>
      </c>
      <c r="Q814" s="11">
        <f t="shared" si="74"/>
        <v>177.31999999999994</v>
      </c>
      <c r="R814" t="str">
        <f t="shared" si="77"/>
        <v>profit</v>
      </c>
    </row>
    <row r="815" spans="1:18" ht="15.75" customHeight="1" x14ac:dyDescent="0.4">
      <c r="A815" s="1" t="s">
        <v>1633</v>
      </c>
      <c r="B815" s="2">
        <v>45359</v>
      </c>
      <c r="C815" s="2">
        <v>45361</v>
      </c>
      <c r="D815" s="2" t="str">
        <f t="shared" si="75"/>
        <v>2024</v>
      </c>
      <c r="E815" s="2" t="str">
        <f t="shared" si="72"/>
        <v>March</v>
      </c>
      <c r="F815" s="2" t="str">
        <f t="shared" si="76"/>
        <v>Q2</v>
      </c>
      <c r="G815" s="13">
        <f t="shared" si="73"/>
        <v>2</v>
      </c>
      <c r="H815" s="12" t="s">
        <v>42</v>
      </c>
      <c r="I815" s="1" t="s">
        <v>50</v>
      </c>
      <c r="J815" s="1" t="s">
        <v>14</v>
      </c>
      <c r="K815" s="1" t="s">
        <v>30</v>
      </c>
      <c r="L815" s="1" t="s">
        <v>1634</v>
      </c>
      <c r="M815" s="10">
        <v>923.28</v>
      </c>
      <c r="N815" s="8">
        <v>3</v>
      </c>
      <c r="O815" s="6">
        <v>0.22</v>
      </c>
      <c r="P815" s="10">
        <v>701.04</v>
      </c>
      <c r="Q815" s="11">
        <f t="shared" si="74"/>
        <v>222.24</v>
      </c>
      <c r="R815" t="str">
        <f t="shared" si="77"/>
        <v>profit</v>
      </c>
    </row>
    <row r="816" spans="1:18" ht="15.75" customHeight="1" x14ac:dyDescent="0.4">
      <c r="A816" s="1" t="s">
        <v>1635</v>
      </c>
      <c r="B816" s="2">
        <v>45159</v>
      </c>
      <c r="C816" s="2">
        <v>45159</v>
      </c>
      <c r="D816" s="2" t="str">
        <f t="shared" si="75"/>
        <v>2023</v>
      </c>
      <c r="E816" s="2" t="str">
        <f t="shared" si="72"/>
        <v>August</v>
      </c>
      <c r="F816" s="2" t="str">
        <f t="shared" si="76"/>
        <v>Q3</v>
      </c>
      <c r="G816" s="13">
        <f t="shared" si="73"/>
        <v>0</v>
      </c>
      <c r="H816" s="12" t="s">
        <v>23</v>
      </c>
      <c r="I816" s="1" t="s">
        <v>59</v>
      </c>
      <c r="J816" s="1" t="s">
        <v>19</v>
      </c>
      <c r="K816" s="1" t="s">
        <v>92</v>
      </c>
      <c r="L816" s="1" t="s">
        <v>1636</v>
      </c>
      <c r="M816" s="10">
        <v>875.62</v>
      </c>
      <c r="N816" s="8">
        <v>5</v>
      </c>
      <c r="O816" s="6">
        <v>0.3</v>
      </c>
      <c r="P816" s="10">
        <v>573.91999999999996</v>
      </c>
      <c r="Q816" s="11">
        <f t="shared" si="74"/>
        <v>301.70000000000005</v>
      </c>
      <c r="R816" t="str">
        <f t="shared" si="77"/>
        <v>profit</v>
      </c>
    </row>
    <row r="817" spans="1:18" ht="15.75" customHeight="1" x14ac:dyDescent="0.4">
      <c r="A817" s="1" t="s">
        <v>1637</v>
      </c>
      <c r="B817" s="2">
        <v>44901</v>
      </c>
      <c r="C817" s="2">
        <v>44902</v>
      </c>
      <c r="D817" s="2" t="str">
        <f t="shared" si="75"/>
        <v>2022</v>
      </c>
      <c r="E817" s="2" t="str">
        <f t="shared" si="72"/>
        <v>December</v>
      </c>
      <c r="F817" s="2" t="str">
        <f t="shared" si="76"/>
        <v>Q4</v>
      </c>
      <c r="G817" s="13">
        <f t="shared" si="73"/>
        <v>1</v>
      </c>
      <c r="H817" s="12" t="s">
        <v>42</v>
      </c>
      <c r="I817" s="1" t="s">
        <v>13</v>
      </c>
      <c r="J817" s="1" t="s">
        <v>14</v>
      </c>
      <c r="K817" s="1" t="s">
        <v>54</v>
      </c>
      <c r="L817" s="1" t="s">
        <v>1638</v>
      </c>
      <c r="M817" s="10">
        <v>293.45999999999998</v>
      </c>
      <c r="N817" s="8">
        <v>9</v>
      </c>
      <c r="O817" s="6">
        <v>0.26</v>
      </c>
      <c r="P817" s="10">
        <v>169.6</v>
      </c>
      <c r="Q817" s="11">
        <f t="shared" si="74"/>
        <v>123.85999999999999</v>
      </c>
      <c r="R817" t="str">
        <f t="shared" si="77"/>
        <v>profit</v>
      </c>
    </row>
    <row r="818" spans="1:18" ht="15.75" customHeight="1" x14ac:dyDescent="0.4">
      <c r="A818" s="1" t="s">
        <v>1639</v>
      </c>
      <c r="B818" s="2">
        <v>45135</v>
      </c>
      <c r="C818" s="2">
        <v>45138</v>
      </c>
      <c r="D818" s="2" t="str">
        <f t="shared" si="75"/>
        <v>2023</v>
      </c>
      <c r="E818" s="2" t="str">
        <f t="shared" si="72"/>
        <v>July</v>
      </c>
      <c r="F818" s="2" t="str">
        <f t="shared" si="76"/>
        <v>Q3</v>
      </c>
      <c r="G818" s="13">
        <f t="shared" si="73"/>
        <v>3</v>
      </c>
      <c r="H818" s="12" t="s">
        <v>42</v>
      </c>
      <c r="I818" s="1" t="s">
        <v>13</v>
      </c>
      <c r="J818" s="1" t="s">
        <v>19</v>
      </c>
      <c r="K818" s="1" t="s">
        <v>92</v>
      </c>
      <c r="L818" s="1" t="s">
        <v>624</v>
      </c>
      <c r="M818" s="10">
        <v>392.69</v>
      </c>
      <c r="N818" s="8">
        <v>4</v>
      </c>
      <c r="O818" s="6">
        <v>0.15</v>
      </c>
      <c r="P818" s="10">
        <v>311.70999999999998</v>
      </c>
      <c r="Q818" s="11">
        <f t="shared" si="74"/>
        <v>80.980000000000018</v>
      </c>
      <c r="R818" t="str">
        <f t="shared" si="77"/>
        <v>profit</v>
      </c>
    </row>
    <row r="819" spans="1:18" ht="15.75" customHeight="1" x14ac:dyDescent="0.4">
      <c r="A819" s="1" t="s">
        <v>1640</v>
      </c>
      <c r="B819" s="2">
        <v>45547</v>
      </c>
      <c r="C819" s="2">
        <v>45554</v>
      </c>
      <c r="D819" s="2" t="str">
        <f t="shared" si="75"/>
        <v>2024</v>
      </c>
      <c r="E819" s="2" t="str">
        <f t="shared" si="72"/>
        <v>September</v>
      </c>
      <c r="F819" s="2" t="str">
        <f t="shared" si="76"/>
        <v>Q4</v>
      </c>
      <c r="G819" s="13">
        <f t="shared" si="73"/>
        <v>7</v>
      </c>
      <c r="H819" s="12" t="s">
        <v>1987</v>
      </c>
      <c r="I819" s="1" t="s">
        <v>53</v>
      </c>
      <c r="J819" s="1" t="s">
        <v>19</v>
      </c>
      <c r="K819" s="1" t="s">
        <v>35</v>
      </c>
      <c r="L819" s="1" t="s">
        <v>1641</v>
      </c>
      <c r="M819" s="10">
        <v>530.04999999999995</v>
      </c>
      <c r="N819" s="8">
        <v>6</v>
      </c>
      <c r="O819" s="6">
        <v>0.2</v>
      </c>
      <c r="P819" s="10">
        <v>403.49</v>
      </c>
      <c r="Q819" s="11">
        <f t="shared" si="74"/>
        <v>126.55999999999995</v>
      </c>
      <c r="R819" t="str">
        <f t="shared" si="77"/>
        <v>profit</v>
      </c>
    </row>
    <row r="820" spans="1:18" ht="15.75" customHeight="1" x14ac:dyDescent="0.4">
      <c r="A820" s="1" t="s">
        <v>1642</v>
      </c>
      <c r="B820" s="2">
        <v>45436</v>
      </c>
      <c r="C820" s="2">
        <v>45442</v>
      </c>
      <c r="D820" s="2" t="str">
        <f t="shared" si="75"/>
        <v>2024</v>
      </c>
      <c r="E820" s="2" t="str">
        <f t="shared" si="72"/>
        <v>May</v>
      </c>
      <c r="F820" s="2" t="str">
        <f t="shared" si="76"/>
        <v>Q2</v>
      </c>
      <c r="G820" s="13">
        <f t="shared" si="73"/>
        <v>6</v>
      </c>
      <c r="H820" s="12" t="s">
        <v>42</v>
      </c>
      <c r="I820" s="1" t="s">
        <v>46</v>
      </c>
      <c r="J820" s="1" t="s">
        <v>14</v>
      </c>
      <c r="K820" s="1" t="s">
        <v>54</v>
      </c>
      <c r="L820" s="1" t="s">
        <v>1643</v>
      </c>
      <c r="M820" s="10">
        <v>703.77</v>
      </c>
      <c r="N820" s="8">
        <v>6</v>
      </c>
      <c r="O820" s="6">
        <v>0.05</v>
      </c>
      <c r="P820" s="10">
        <v>635.17999999999995</v>
      </c>
      <c r="Q820" s="11">
        <f t="shared" si="74"/>
        <v>68.590000000000032</v>
      </c>
      <c r="R820" t="str">
        <f t="shared" si="77"/>
        <v>profit</v>
      </c>
    </row>
    <row r="821" spans="1:18" ht="15.75" customHeight="1" x14ac:dyDescent="0.4">
      <c r="A821" s="1" t="s">
        <v>1644</v>
      </c>
      <c r="B821" s="2">
        <v>45226</v>
      </c>
      <c r="C821" s="2">
        <v>45229</v>
      </c>
      <c r="D821" s="2" t="str">
        <f t="shared" si="75"/>
        <v>2023</v>
      </c>
      <c r="E821" s="2" t="str">
        <f t="shared" si="72"/>
        <v>October</v>
      </c>
      <c r="F821" s="2" t="str">
        <f t="shared" si="76"/>
        <v>Q4</v>
      </c>
      <c r="G821" s="13">
        <f t="shared" si="73"/>
        <v>3</v>
      </c>
      <c r="H821" s="12" t="s">
        <v>42</v>
      </c>
      <c r="I821" s="1" t="s">
        <v>50</v>
      </c>
      <c r="J821" s="1" t="s">
        <v>14</v>
      </c>
      <c r="K821" s="1" t="s">
        <v>54</v>
      </c>
      <c r="L821" s="1" t="s">
        <v>1603</v>
      </c>
      <c r="M821" s="10">
        <v>890.65</v>
      </c>
      <c r="N821" s="8">
        <v>5</v>
      </c>
      <c r="O821" s="6">
        <v>0.25</v>
      </c>
      <c r="P821" s="10">
        <v>652.72</v>
      </c>
      <c r="Q821" s="11">
        <f t="shared" si="74"/>
        <v>237.92999999999995</v>
      </c>
      <c r="R821" t="str">
        <f t="shared" si="77"/>
        <v>profit</v>
      </c>
    </row>
    <row r="822" spans="1:18" ht="15.75" customHeight="1" x14ac:dyDescent="0.4">
      <c r="A822" s="1" t="s">
        <v>1645</v>
      </c>
      <c r="B822" s="2">
        <v>45265</v>
      </c>
      <c r="C822" s="2">
        <v>45270</v>
      </c>
      <c r="D822" s="2" t="str">
        <f t="shared" si="75"/>
        <v>2023</v>
      </c>
      <c r="E822" s="2" t="str">
        <f t="shared" si="72"/>
        <v>December</v>
      </c>
      <c r="F822" s="2" t="str">
        <f t="shared" si="76"/>
        <v>Q4</v>
      </c>
      <c r="G822" s="13">
        <f t="shared" si="73"/>
        <v>5</v>
      </c>
      <c r="H822" s="12" t="s">
        <v>42</v>
      </c>
      <c r="I822" s="1" t="s">
        <v>18</v>
      </c>
      <c r="J822" s="1" t="s">
        <v>19</v>
      </c>
      <c r="K822" s="1" t="s">
        <v>20</v>
      </c>
      <c r="L822" s="1" t="s">
        <v>1646</v>
      </c>
      <c r="M822" s="10">
        <v>746.93</v>
      </c>
      <c r="N822" s="8">
        <v>9</v>
      </c>
      <c r="O822" s="6">
        <v>0.08</v>
      </c>
      <c r="P822" s="10">
        <v>652.52</v>
      </c>
      <c r="Q822" s="11">
        <f t="shared" si="74"/>
        <v>94.409999999999968</v>
      </c>
      <c r="R822" t="str">
        <f t="shared" si="77"/>
        <v>profit</v>
      </c>
    </row>
    <row r="823" spans="1:18" ht="15.75" customHeight="1" x14ac:dyDescent="0.4">
      <c r="A823" s="1" t="s">
        <v>1647</v>
      </c>
      <c r="B823" s="2">
        <v>45401</v>
      </c>
      <c r="C823" s="2">
        <v>45405</v>
      </c>
      <c r="D823" s="2" t="str">
        <f t="shared" si="75"/>
        <v>2024</v>
      </c>
      <c r="E823" s="2" t="str">
        <f t="shared" si="72"/>
        <v>April</v>
      </c>
      <c r="F823" s="2" t="str">
        <f t="shared" si="76"/>
        <v>Q2</v>
      </c>
      <c r="G823" s="13">
        <f t="shared" si="73"/>
        <v>4</v>
      </c>
      <c r="H823" s="12" t="s">
        <v>42</v>
      </c>
      <c r="I823" s="1" t="s">
        <v>24</v>
      </c>
      <c r="J823" s="1" t="s">
        <v>19</v>
      </c>
      <c r="K823" s="1" t="s">
        <v>92</v>
      </c>
      <c r="L823" s="1" t="s">
        <v>1648</v>
      </c>
      <c r="M823" s="10">
        <v>562.48</v>
      </c>
      <c r="N823" s="8">
        <v>2</v>
      </c>
      <c r="O823" s="6">
        <v>0.26</v>
      </c>
      <c r="P823" s="10">
        <v>401.38</v>
      </c>
      <c r="Q823" s="11">
        <f t="shared" si="74"/>
        <v>161.10000000000002</v>
      </c>
      <c r="R823" t="str">
        <f t="shared" si="77"/>
        <v>profit</v>
      </c>
    </row>
    <row r="824" spans="1:18" ht="15.75" customHeight="1" x14ac:dyDescent="0.4">
      <c r="A824" s="1" t="s">
        <v>1649</v>
      </c>
      <c r="B824" s="2">
        <v>45252</v>
      </c>
      <c r="C824" s="2">
        <v>45258</v>
      </c>
      <c r="D824" s="2" t="str">
        <f t="shared" si="75"/>
        <v>2023</v>
      </c>
      <c r="E824" s="2" t="str">
        <f t="shared" si="72"/>
        <v>November</v>
      </c>
      <c r="F824" s="2" t="str">
        <f t="shared" si="76"/>
        <v>Q4</v>
      </c>
      <c r="G824" s="13">
        <f t="shared" si="73"/>
        <v>6</v>
      </c>
      <c r="H824" s="12" t="s">
        <v>42</v>
      </c>
      <c r="I824" s="1" t="s">
        <v>24</v>
      </c>
      <c r="J824" s="1" t="s">
        <v>14</v>
      </c>
      <c r="K824" s="1" t="s">
        <v>54</v>
      </c>
      <c r="L824" s="1" t="s">
        <v>1650</v>
      </c>
      <c r="M824" s="10">
        <v>721.67</v>
      </c>
      <c r="N824" s="8">
        <v>3</v>
      </c>
      <c r="O824" s="6">
        <v>0.01</v>
      </c>
      <c r="P824" s="10">
        <v>692.91</v>
      </c>
      <c r="Q824" s="11">
        <f t="shared" si="74"/>
        <v>28.759999999999991</v>
      </c>
      <c r="R824" t="str">
        <f t="shared" si="77"/>
        <v>profit</v>
      </c>
    </row>
    <row r="825" spans="1:18" ht="15.75" customHeight="1" x14ac:dyDescent="0.4">
      <c r="A825" s="1" t="s">
        <v>1651</v>
      </c>
      <c r="B825" s="2">
        <v>45603</v>
      </c>
      <c r="C825" s="2">
        <v>45603</v>
      </c>
      <c r="D825" s="2" t="str">
        <f t="shared" si="75"/>
        <v>2024</v>
      </c>
      <c r="E825" s="2" t="str">
        <f t="shared" si="72"/>
        <v>November</v>
      </c>
      <c r="F825" s="2" t="str">
        <f t="shared" si="76"/>
        <v>Q4</v>
      </c>
      <c r="G825" s="13">
        <f t="shared" si="73"/>
        <v>0</v>
      </c>
      <c r="H825" s="12" t="s">
        <v>1987</v>
      </c>
      <c r="I825" s="1" t="s">
        <v>13</v>
      </c>
      <c r="J825" s="1" t="s">
        <v>19</v>
      </c>
      <c r="K825" s="1" t="s">
        <v>35</v>
      </c>
      <c r="L825" s="1" t="s">
        <v>1652</v>
      </c>
      <c r="M825" s="10">
        <v>29.7</v>
      </c>
      <c r="N825" s="8">
        <v>8</v>
      </c>
      <c r="O825" s="6">
        <v>0.14000000000000001</v>
      </c>
      <c r="P825" s="10">
        <v>-8.4700000000000006</v>
      </c>
      <c r="Q825" s="11">
        <f t="shared" si="74"/>
        <v>38.17</v>
      </c>
      <c r="R825" t="str">
        <f t="shared" si="77"/>
        <v>loss</v>
      </c>
    </row>
    <row r="826" spans="1:18" ht="15.75" customHeight="1" x14ac:dyDescent="0.4">
      <c r="A826" s="1" t="s">
        <v>1653</v>
      </c>
      <c r="B826" s="2">
        <v>44922</v>
      </c>
      <c r="C826" s="2">
        <v>44924</v>
      </c>
      <c r="D826" s="2" t="str">
        <f t="shared" si="75"/>
        <v>2022</v>
      </c>
      <c r="E826" s="2" t="str">
        <f t="shared" si="72"/>
        <v>December</v>
      </c>
      <c r="F826" s="2" t="str">
        <f t="shared" si="76"/>
        <v>Q4</v>
      </c>
      <c r="G826" s="13">
        <f t="shared" si="73"/>
        <v>2</v>
      </c>
      <c r="H826" s="12" t="s">
        <v>1987</v>
      </c>
      <c r="I826" s="1" t="s">
        <v>53</v>
      </c>
      <c r="J826" s="1" t="s">
        <v>14</v>
      </c>
      <c r="K826" s="1" t="s">
        <v>54</v>
      </c>
      <c r="L826" s="1" t="s">
        <v>1654</v>
      </c>
      <c r="M826" s="10">
        <v>770.98</v>
      </c>
      <c r="N826" s="8">
        <v>10</v>
      </c>
      <c r="O826" s="6">
        <v>0.18</v>
      </c>
      <c r="P826" s="10">
        <v>596.42999999999995</v>
      </c>
      <c r="Q826" s="11">
        <f t="shared" si="74"/>
        <v>174.55000000000007</v>
      </c>
      <c r="R826" t="str">
        <f t="shared" si="77"/>
        <v>profit</v>
      </c>
    </row>
    <row r="827" spans="1:18" ht="15.75" customHeight="1" x14ac:dyDescent="0.4">
      <c r="A827" s="1" t="s">
        <v>1655</v>
      </c>
      <c r="B827" s="2">
        <v>45034</v>
      </c>
      <c r="C827" s="2">
        <v>45034</v>
      </c>
      <c r="D827" s="2" t="str">
        <f t="shared" si="75"/>
        <v>2023</v>
      </c>
      <c r="E827" s="2" t="str">
        <f t="shared" si="72"/>
        <v>April</v>
      </c>
      <c r="F827" s="2" t="str">
        <f t="shared" si="76"/>
        <v>Q2</v>
      </c>
      <c r="G827" s="13">
        <f t="shared" si="73"/>
        <v>0</v>
      </c>
      <c r="H827" s="12" t="s">
        <v>1987</v>
      </c>
      <c r="I827" s="1" t="s">
        <v>18</v>
      </c>
      <c r="J827" s="1" t="s">
        <v>14</v>
      </c>
      <c r="K827" s="1" t="s">
        <v>30</v>
      </c>
      <c r="L827" s="1" t="s">
        <v>1656</v>
      </c>
      <c r="M827" s="10">
        <v>400.84</v>
      </c>
      <c r="N827" s="8">
        <v>5</v>
      </c>
      <c r="O827" s="6">
        <v>0</v>
      </c>
      <c r="P827" s="10">
        <v>390.01</v>
      </c>
      <c r="Q827" s="11">
        <f t="shared" si="74"/>
        <v>10.829999999999984</v>
      </c>
      <c r="R827" t="str">
        <f t="shared" si="77"/>
        <v>profit</v>
      </c>
    </row>
    <row r="828" spans="1:18" ht="15.75" customHeight="1" x14ac:dyDescent="0.4">
      <c r="A828" s="3" t="s">
        <v>1657</v>
      </c>
      <c r="B828" s="2">
        <v>45132</v>
      </c>
      <c r="C828" s="2">
        <v>45133</v>
      </c>
      <c r="D828" s="2" t="str">
        <f t="shared" si="75"/>
        <v>2023</v>
      </c>
      <c r="E828" s="2" t="str">
        <f t="shared" si="72"/>
        <v>July</v>
      </c>
      <c r="F828" s="2" t="str">
        <f t="shared" si="76"/>
        <v>Q3</v>
      </c>
      <c r="G828" s="13">
        <f t="shared" si="73"/>
        <v>1</v>
      </c>
      <c r="H828" s="12" t="s">
        <v>1987</v>
      </c>
      <c r="I828" s="1" t="s">
        <v>24</v>
      </c>
      <c r="J828" s="1" t="s">
        <v>19</v>
      </c>
      <c r="K828" s="1" t="s">
        <v>92</v>
      </c>
      <c r="L828" s="1" t="s">
        <v>1658</v>
      </c>
      <c r="M828" s="10">
        <v>950.89</v>
      </c>
      <c r="N828" s="8">
        <v>7</v>
      </c>
      <c r="O828" s="6">
        <v>0.12</v>
      </c>
      <c r="P828" s="10">
        <v>817.51</v>
      </c>
      <c r="Q828" s="11">
        <f t="shared" si="74"/>
        <v>133.38</v>
      </c>
      <c r="R828" t="str">
        <f t="shared" si="77"/>
        <v>profit</v>
      </c>
    </row>
    <row r="829" spans="1:18" ht="15.75" customHeight="1" x14ac:dyDescent="0.4">
      <c r="A829" s="1" t="s">
        <v>1659</v>
      </c>
      <c r="B829" s="2">
        <v>45300</v>
      </c>
      <c r="C829" s="2">
        <v>45304</v>
      </c>
      <c r="D829" s="2" t="str">
        <f t="shared" si="75"/>
        <v>2024</v>
      </c>
      <c r="E829" s="2" t="str">
        <f t="shared" si="72"/>
        <v>January</v>
      </c>
      <c r="F829" s="2" t="str">
        <f t="shared" si="76"/>
        <v>Q1</v>
      </c>
      <c r="G829" s="13">
        <f t="shared" si="73"/>
        <v>4</v>
      </c>
      <c r="H829" s="12" t="s">
        <v>1987</v>
      </c>
      <c r="I829" s="1" t="s">
        <v>24</v>
      </c>
      <c r="J829" s="1" t="s">
        <v>19</v>
      </c>
      <c r="K829" s="1" t="s">
        <v>20</v>
      </c>
      <c r="L829" s="1" t="s">
        <v>1660</v>
      </c>
      <c r="M829" s="10">
        <v>948.71</v>
      </c>
      <c r="N829" s="8">
        <v>6</v>
      </c>
      <c r="O829" s="6">
        <v>0.3</v>
      </c>
      <c r="P829" s="10">
        <v>623.70000000000005</v>
      </c>
      <c r="Q829" s="11">
        <f t="shared" si="74"/>
        <v>325.01</v>
      </c>
      <c r="R829" t="str">
        <f t="shared" si="77"/>
        <v>profit</v>
      </c>
    </row>
    <row r="830" spans="1:18" ht="15.75" customHeight="1" x14ac:dyDescent="0.4">
      <c r="A830" s="1" t="s">
        <v>1661</v>
      </c>
      <c r="C830" s="2">
        <v>45018</v>
      </c>
      <c r="D830" s="2" t="str">
        <f t="shared" si="75"/>
        <v/>
      </c>
      <c r="E830" s="2" t="str">
        <f t="shared" si="72"/>
        <v>April</v>
      </c>
      <c r="F830" s="2" t="str">
        <f t="shared" si="76"/>
        <v>Q2</v>
      </c>
      <c r="G830" s="13">
        <f t="shared" si="73"/>
        <v>45018</v>
      </c>
      <c r="H830" s="12" t="s">
        <v>1988</v>
      </c>
      <c r="I830" s="1" t="s">
        <v>53</v>
      </c>
      <c r="J830" s="1" t="s">
        <v>25</v>
      </c>
      <c r="K830" s="1" t="s">
        <v>47</v>
      </c>
      <c r="L830" s="1" t="s">
        <v>1662</v>
      </c>
      <c r="M830" s="11" t="s">
        <v>1989</v>
      </c>
      <c r="N830" s="8">
        <v>3</v>
      </c>
      <c r="O830" s="6">
        <v>0.04</v>
      </c>
      <c r="P830" s="10">
        <v>636.17999999999995</v>
      </c>
      <c r="Q830" s="11" t="e">
        <f t="shared" si="74"/>
        <v>#VALUE!</v>
      </c>
      <c r="R830" t="str">
        <f t="shared" si="77"/>
        <v>profit</v>
      </c>
    </row>
    <row r="831" spans="1:18" ht="15.75" customHeight="1" x14ac:dyDescent="0.4">
      <c r="A831" s="1" t="s">
        <v>1663</v>
      </c>
      <c r="B831" s="2">
        <v>45544</v>
      </c>
      <c r="C831" s="2">
        <v>45552</v>
      </c>
      <c r="D831" s="2" t="str">
        <f t="shared" si="75"/>
        <v>2024</v>
      </c>
      <c r="E831" s="2" t="str">
        <f t="shared" si="72"/>
        <v>September</v>
      </c>
      <c r="F831" s="2" t="str">
        <f t="shared" si="76"/>
        <v>Q4</v>
      </c>
      <c r="G831" s="13">
        <f t="shared" si="73"/>
        <v>8</v>
      </c>
      <c r="H831" s="12" t="s">
        <v>42</v>
      </c>
      <c r="I831" s="1" t="s">
        <v>50</v>
      </c>
      <c r="J831" s="1" t="s">
        <v>25</v>
      </c>
      <c r="K831" s="1" t="s">
        <v>43</v>
      </c>
      <c r="L831" s="1" t="s">
        <v>1664</v>
      </c>
      <c r="M831" s="10">
        <v>188.26</v>
      </c>
      <c r="N831" s="8">
        <v>5</v>
      </c>
      <c r="O831" s="6">
        <v>0.2</v>
      </c>
      <c r="P831" s="10">
        <v>120.51</v>
      </c>
      <c r="Q831" s="11">
        <f t="shared" si="74"/>
        <v>67.749999999999986</v>
      </c>
      <c r="R831" t="str">
        <f t="shared" si="77"/>
        <v>profit</v>
      </c>
    </row>
    <row r="832" spans="1:18" ht="15.75" customHeight="1" x14ac:dyDescent="0.4">
      <c r="A832" s="1" t="s">
        <v>1665</v>
      </c>
      <c r="B832" s="2">
        <v>45214</v>
      </c>
      <c r="C832" s="2">
        <v>45217</v>
      </c>
      <c r="D832" s="2" t="str">
        <f t="shared" si="75"/>
        <v>2023</v>
      </c>
      <c r="E832" s="2" t="str">
        <f t="shared" si="72"/>
        <v>October</v>
      </c>
      <c r="F832" s="2" t="str">
        <f t="shared" si="76"/>
        <v>Q4</v>
      </c>
      <c r="G832" s="13">
        <f t="shared" si="73"/>
        <v>3</v>
      </c>
      <c r="H832" s="12" t="s">
        <v>23</v>
      </c>
      <c r="I832" s="1" t="s">
        <v>46</v>
      </c>
      <c r="J832" s="1" t="s">
        <v>19</v>
      </c>
      <c r="K832" s="1" t="s">
        <v>20</v>
      </c>
      <c r="L832" s="1" t="s">
        <v>1666</v>
      </c>
      <c r="M832" s="10">
        <v>115.08</v>
      </c>
      <c r="N832" s="8">
        <v>5</v>
      </c>
      <c r="O832" s="6">
        <v>0.04</v>
      </c>
      <c r="P832" s="10">
        <v>79.650000000000006</v>
      </c>
      <c r="Q832" s="11">
        <f t="shared" si="74"/>
        <v>35.429999999999993</v>
      </c>
      <c r="R832" t="str">
        <f t="shared" si="77"/>
        <v>profit</v>
      </c>
    </row>
    <row r="833" spans="1:18" ht="15.75" customHeight="1" x14ac:dyDescent="0.4">
      <c r="A833" s="1" t="s">
        <v>1667</v>
      </c>
      <c r="B833" s="2">
        <v>45090</v>
      </c>
      <c r="C833" s="2">
        <v>45093</v>
      </c>
      <c r="D833" s="2" t="str">
        <f t="shared" si="75"/>
        <v>2023</v>
      </c>
      <c r="E833" s="2" t="str">
        <f t="shared" si="72"/>
        <v>June</v>
      </c>
      <c r="F833" s="2" t="str">
        <f t="shared" si="76"/>
        <v>Q3</v>
      </c>
      <c r="G833" s="13">
        <f t="shared" si="73"/>
        <v>3</v>
      </c>
      <c r="H833" s="12" t="s">
        <v>1986</v>
      </c>
      <c r="I833" s="1" t="s">
        <v>29</v>
      </c>
      <c r="J833" s="1" t="s">
        <v>25</v>
      </c>
      <c r="K833" s="1" t="s">
        <v>26</v>
      </c>
      <c r="L833" s="1" t="s">
        <v>1668</v>
      </c>
      <c r="M833" s="10">
        <v>690.93</v>
      </c>
      <c r="N833" s="8">
        <v>6</v>
      </c>
      <c r="O833" s="6">
        <v>0.04</v>
      </c>
      <c r="P833" s="10">
        <v>639.62</v>
      </c>
      <c r="Q833" s="11">
        <f t="shared" si="74"/>
        <v>51.309999999999945</v>
      </c>
      <c r="R833" t="str">
        <f t="shared" si="77"/>
        <v>profit</v>
      </c>
    </row>
    <row r="834" spans="1:18" ht="15.75" customHeight="1" x14ac:dyDescent="0.4">
      <c r="A834" s="1" t="s">
        <v>1669</v>
      </c>
      <c r="B834" s="2">
        <v>45386</v>
      </c>
      <c r="C834" s="2">
        <v>45394</v>
      </c>
      <c r="D834" s="2" t="str">
        <f t="shared" si="75"/>
        <v>2024</v>
      </c>
      <c r="E834" s="2" t="str">
        <f t="shared" ref="E834:E897" si="78">TEXT(C834, "MMMM")</f>
        <v>April</v>
      </c>
      <c r="F834" s="2" t="str">
        <f t="shared" si="76"/>
        <v>Q2</v>
      </c>
      <c r="G834" s="13">
        <f t="shared" ref="G834:G897" si="79">DATEDIF(B834,C834, "D")</f>
        <v>8</v>
      </c>
      <c r="H834" s="12" t="s">
        <v>42</v>
      </c>
      <c r="I834" s="1" t="s">
        <v>59</v>
      </c>
      <c r="J834" s="1" t="s">
        <v>14</v>
      </c>
      <c r="K834" s="1" t="s">
        <v>15</v>
      </c>
      <c r="L834" s="1" t="s">
        <v>1670</v>
      </c>
      <c r="M834" s="10">
        <v>282.01</v>
      </c>
      <c r="N834" s="8">
        <v>2</v>
      </c>
      <c r="O834" s="6">
        <v>0.1</v>
      </c>
      <c r="P834" s="10">
        <v>236.23</v>
      </c>
      <c r="Q834" s="11">
        <f t="shared" ref="Q834:Q897" si="80">M834 - P834</f>
        <v>45.78</v>
      </c>
      <c r="R834" t="str">
        <f t="shared" si="77"/>
        <v>profit</v>
      </c>
    </row>
    <row r="835" spans="1:18" ht="15.75" customHeight="1" x14ac:dyDescent="0.4">
      <c r="A835" s="1" t="s">
        <v>1671</v>
      </c>
      <c r="B835" s="2">
        <v>45258</v>
      </c>
      <c r="C835" s="2">
        <v>45261</v>
      </c>
      <c r="D835" s="2" t="str">
        <f t="shared" ref="D835:D898" si="81">IF(B835="","",TEXT(B835,"YYYY"))</f>
        <v>2023</v>
      </c>
      <c r="E835" s="2" t="str">
        <f t="shared" si="78"/>
        <v>December</v>
      </c>
      <c r="F835" s="2" t="str">
        <f t="shared" ref="F835:F898" si="82">IF(MONTH(C835)&lt;3,"Q1",IF(MONTH(C835)&lt;6,"Q2",IF(MONTH(C835)&lt;9,"Q3","Q4")))</f>
        <v>Q4</v>
      </c>
      <c r="G835" s="13">
        <f t="shared" si="79"/>
        <v>3</v>
      </c>
      <c r="H835" s="12" t="s">
        <v>1986</v>
      </c>
      <c r="I835" s="1" t="s">
        <v>46</v>
      </c>
      <c r="J835" s="1" t="s">
        <v>25</v>
      </c>
      <c r="K835" s="1" t="s">
        <v>43</v>
      </c>
      <c r="L835" s="1" t="s">
        <v>1672</v>
      </c>
      <c r="M835" s="10">
        <v>156.52000000000001</v>
      </c>
      <c r="N835" s="8">
        <v>3</v>
      </c>
      <c r="O835" s="6">
        <v>0.44</v>
      </c>
      <c r="P835" s="10">
        <v>37.81</v>
      </c>
      <c r="Q835" s="11">
        <f t="shared" si="80"/>
        <v>118.71000000000001</v>
      </c>
      <c r="R835" t="str">
        <f t="shared" si="77"/>
        <v>profit</v>
      </c>
    </row>
    <row r="836" spans="1:18" ht="15.75" customHeight="1" x14ac:dyDescent="0.4">
      <c r="A836" s="1" t="s">
        <v>1673</v>
      </c>
      <c r="B836" s="2">
        <v>45382</v>
      </c>
      <c r="C836" s="2">
        <v>45390</v>
      </c>
      <c r="D836" s="2" t="str">
        <f t="shared" si="81"/>
        <v>2024</v>
      </c>
      <c r="E836" s="2" t="str">
        <f t="shared" si="78"/>
        <v>April</v>
      </c>
      <c r="F836" s="2" t="str">
        <f t="shared" si="82"/>
        <v>Q2</v>
      </c>
      <c r="G836" s="13">
        <f t="shared" si="79"/>
        <v>8</v>
      </c>
      <c r="H836" s="12" t="s">
        <v>42</v>
      </c>
      <c r="I836" s="1" t="s">
        <v>46</v>
      </c>
      <c r="J836" s="1" t="s">
        <v>14</v>
      </c>
      <c r="K836" s="1" t="s">
        <v>30</v>
      </c>
      <c r="L836" s="1" t="s">
        <v>1674</v>
      </c>
      <c r="M836" s="10">
        <v>80.790000000000006</v>
      </c>
      <c r="N836" s="8">
        <v>8</v>
      </c>
      <c r="O836" s="6">
        <v>0.36</v>
      </c>
      <c r="P836" s="10">
        <v>9.15</v>
      </c>
      <c r="Q836" s="11">
        <f t="shared" si="80"/>
        <v>71.64</v>
      </c>
      <c r="R836" t="str">
        <f t="shared" ref="R836:R899" si="83">IF(P836&gt;0,"profit","loss")</f>
        <v>profit</v>
      </c>
    </row>
    <row r="837" spans="1:18" ht="15.75" customHeight="1" x14ac:dyDescent="0.4">
      <c r="A837" s="1" t="s">
        <v>1675</v>
      </c>
      <c r="B837" s="2">
        <v>44929</v>
      </c>
      <c r="C837" s="2">
        <v>44932</v>
      </c>
      <c r="D837" s="2" t="str">
        <f t="shared" si="81"/>
        <v>2023</v>
      </c>
      <c r="E837" s="2" t="str">
        <f t="shared" si="78"/>
        <v>January</v>
      </c>
      <c r="F837" s="2" t="str">
        <f t="shared" si="82"/>
        <v>Q1</v>
      </c>
      <c r="G837" s="13">
        <f t="shared" si="79"/>
        <v>3</v>
      </c>
      <c r="H837" s="12" t="s">
        <v>23</v>
      </c>
      <c r="I837" s="1" t="s">
        <v>29</v>
      </c>
      <c r="J837" s="1" t="s">
        <v>19</v>
      </c>
      <c r="K837" s="1" t="s">
        <v>35</v>
      </c>
      <c r="L837" s="1" t="s">
        <v>1676</v>
      </c>
      <c r="M837" s="10">
        <v>844.23</v>
      </c>
      <c r="N837" s="8">
        <v>5</v>
      </c>
      <c r="O837" s="6">
        <v>0.12</v>
      </c>
      <c r="P837" s="10">
        <v>702.38</v>
      </c>
      <c r="Q837" s="11">
        <f t="shared" si="80"/>
        <v>141.85000000000002</v>
      </c>
      <c r="R837" t="str">
        <f t="shared" si="83"/>
        <v>profit</v>
      </c>
    </row>
    <row r="838" spans="1:18" ht="15.75" customHeight="1" x14ac:dyDescent="0.4">
      <c r="A838" s="1" t="s">
        <v>1677</v>
      </c>
      <c r="B838" s="2">
        <v>45410</v>
      </c>
      <c r="C838" s="2">
        <v>45419</v>
      </c>
      <c r="D838" s="2" t="str">
        <f t="shared" si="81"/>
        <v>2024</v>
      </c>
      <c r="E838" s="2" t="str">
        <f t="shared" si="78"/>
        <v>May</v>
      </c>
      <c r="F838" s="2" t="str">
        <f t="shared" si="82"/>
        <v>Q2</v>
      </c>
      <c r="G838" s="13">
        <f t="shared" si="79"/>
        <v>9</v>
      </c>
      <c r="H838" s="12" t="s">
        <v>1987</v>
      </c>
      <c r="I838" s="1" t="s">
        <v>46</v>
      </c>
      <c r="J838" s="1" t="s">
        <v>14</v>
      </c>
      <c r="K838" s="1" t="s">
        <v>15</v>
      </c>
      <c r="L838" s="1" t="s">
        <v>1325</v>
      </c>
      <c r="M838" s="10">
        <v>284.97000000000003</v>
      </c>
      <c r="N838" s="8">
        <v>6</v>
      </c>
      <c r="O838" s="6">
        <v>0.14000000000000001</v>
      </c>
      <c r="P838" s="10">
        <v>231.62</v>
      </c>
      <c r="Q838" s="11">
        <f t="shared" si="80"/>
        <v>53.350000000000023</v>
      </c>
      <c r="R838" t="str">
        <f t="shared" si="83"/>
        <v>profit</v>
      </c>
    </row>
    <row r="839" spans="1:18" ht="15.75" customHeight="1" x14ac:dyDescent="0.4">
      <c r="A839" s="1" t="s">
        <v>1678</v>
      </c>
      <c r="B839" s="2">
        <v>45070</v>
      </c>
      <c r="C839" s="2">
        <v>45077</v>
      </c>
      <c r="D839" s="2" t="str">
        <f t="shared" si="81"/>
        <v>2023</v>
      </c>
      <c r="E839" s="2" t="str">
        <f t="shared" si="78"/>
        <v>May</v>
      </c>
      <c r="F839" s="2" t="str">
        <f t="shared" si="82"/>
        <v>Q2</v>
      </c>
      <c r="G839" s="13">
        <f t="shared" si="79"/>
        <v>7</v>
      </c>
      <c r="H839" s="12" t="s">
        <v>42</v>
      </c>
      <c r="I839" s="1" t="s">
        <v>24</v>
      </c>
      <c r="J839" s="1" t="s">
        <v>25</v>
      </c>
      <c r="K839" s="1" t="s">
        <v>47</v>
      </c>
      <c r="L839" s="1" t="s">
        <v>1679</v>
      </c>
      <c r="M839" s="10">
        <v>980.69</v>
      </c>
      <c r="N839" s="8">
        <v>4</v>
      </c>
      <c r="O839" s="6">
        <v>0.39</v>
      </c>
      <c r="P839" s="10">
        <v>555.88</v>
      </c>
      <c r="Q839" s="11">
        <f t="shared" si="80"/>
        <v>424.81000000000006</v>
      </c>
      <c r="R839" t="str">
        <f t="shared" si="83"/>
        <v>profit</v>
      </c>
    </row>
    <row r="840" spans="1:18" ht="15.75" customHeight="1" x14ac:dyDescent="0.4">
      <c r="A840" s="1" t="s">
        <v>1680</v>
      </c>
      <c r="B840" s="2">
        <v>45622</v>
      </c>
      <c r="C840" s="2">
        <v>45622</v>
      </c>
      <c r="D840" s="2" t="str">
        <f t="shared" si="81"/>
        <v>2024</v>
      </c>
      <c r="E840" s="2" t="str">
        <f t="shared" si="78"/>
        <v>November</v>
      </c>
      <c r="F840" s="2" t="str">
        <f t="shared" si="82"/>
        <v>Q4</v>
      </c>
      <c r="G840" s="13">
        <f t="shared" si="79"/>
        <v>0</v>
      </c>
      <c r="H840" s="12" t="s">
        <v>1987</v>
      </c>
      <c r="I840" s="1" t="s">
        <v>13</v>
      </c>
      <c r="J840" s="1" t="s">
        <v>19</v>
      </c>
      <c r="K840" s="1" t="s">
        <v>35</v>
      </c>
      <c r="L840" s="1" t="s">
        <v>1681</v>
      </c>
      <c r="M840" s="10">
        <v>646.63</v>
      </c>
      <c r="N840" s="8">
        <v>3</v>
      </c>
      <c r="O840" s="6">
        <v>7.0000000000000007E-2</v>
      </c>
      <c r="P840" s="10">
        <v>579.87</v>
      </c>
      <c r="Q840" s="11">
        <f t="shared" si="80"/>
        <v>66.759999999999991</v>
      </c>
      <c r="R840" t="str">
        <f t="shared" si="83"/>
        <v>profit</v>
      </c>
    </row>
    <row r="841" spans="1:18" ht="15.75" customHeight="1" x14ac:dyDescent="0.4">
      <c r="A841" s="1" t="s">
        <v>1682</v>
      </c>
      <c r="B841" s="2">
        <v>45483</v>
      </c>
      <c r="C841" s="2">
        <v>45486</v>
      </c>
      <c r="D841" s="2" t="str">
        <f t="shared" si="81"/>
        <v>2024</v>
      </c>
      <c r="E841" s="2" t="str">
        <f t="shared" si="78"/>
        <v>July</v>
      </c>
      <c r="F841" s="2" t="str">
        <f t="shared" si="82"/>
        <v>Q3</v>
      </c>
      <c r="G841" s="13">
        <f t="shared" si="79"/>
        <v>3</v>
      </c>
      <c r="H841" s="12" t="s">
        <v>42</v>
      </c>
      <c r="I841" s="1" t="s">
        <v>53</v>
      </c>
      <c r="J841" s="1" t="s">
        <v>19</v>
      </c>
      <c r="K841" s="1" t="s">
        <v>92</v>
      </c>
      <c r="L841" s="1" t="s">
        <v>1683</v>
      </c>
      <c r="M841" s="10">
        <v>413.58</v>
      </c>
      <c r="N841" s="8">
        <v>7</v>
      </c>
      <c r="O841" s="6">
        <v>0.25</v>
      </c>
      <c r="P841" s="10">
        <v>284.25</v>
      </c>
      <c r="Q841" s="11">
        <f t="shared" si="80"/>
        <v>129.32999999999998</v>
      </c>
      <c r="R841" t="str">
        <f t="shared" si="83"/>
        <v>profit</v>
      </c>
    </row>
    <row r="842" spans="1:18" ht="15.75" customHeight="1" x14ac:dyDescent="0.4">
      <c r="A842" s="1" t="s">
        <v>1684</v>
      </c>
      <c r="B842" s="2">
        <v>45114</v>
      </c>
      <c r="C842" s="2">
        <v>45121</v>
      </c>
      <c r="D842" s="2" t="str">
        <f t="shared" si="81"/>
        <v>2023</v>
      </c>
      <c r="E842" s="2" t="str">
        <f t="shared" si="78"/>
        <v>July</v>
      </c>
      <c r="F842" s="2" t="str">
        <f t="shared" si="82"/>
        <v>Q3</v>
      </c>
      <c r="G842" s="13">
        <f t="shared" si="79"/>
        <v>7</v>
      </c>
      <c r="H842" s="12" t="s">
        <v>42</v>
      </c>
      <c r="I842" s="1" t="s">
        <v>13</v>
      </c>
      <c r="J842" s="1" t="s">
        <v>14</v>
      </c>
      <c r="K842" s="1" t="s">
        <v>54</v>
      </c>
      <c r="L842" s="1" t="s">
        <v>1685</v>
      </c>
      <c r="M842" s="10">
        <v>243.18</v>
      </c>
      <c r="N842" s="8">
        <v>9</v>
      </c>
      <c r="O842" s="6">
        <v>0.04</v>
      </c>
      <c r="P842" s="10">
        <v>211.23</v>
      </c>
      <c r="Q842" s="11">
        <f t="shared" si="80"/>
        <v>31.950000000000017</v>
      </c>
      <c r="R842" t="str">
        <f t="shared" si="83"/>
        <v>profit</v>
      </c>
    </row>
    <row r="843" spans="1:18" ht="15.75" customHeight="1" x14ac:dyDescent="0.4">
      <c r="A843" s="1" t="s">
        <v>1686</v>
      </c>
      <c r="B843" s="2">
        <v>45127</v>
      </c>
      <c r="C843" s="2">
        <v>45134</v>
      </c>
      <c r="D843" s="2" t="str">
        <f t="shared" si="81"/>
        <v>2023</v>
      </c>
      <c r="E843" s="2" t="str">
        <f t="shared" si="78"/>
        <v>July</v>
      </c>
      <c r="F843" s="2" t="str">
        <f t="shared" si="82"/>
        <v>Q3</v>
      </c>
      <c r="G843" s="13">
        <f t="shared" si="79"/>
        <v>7</v>
      </c>
      <c r="H843" s="12" t="s">
        <v>23</v>
      </c>
      <c r="I843" s="1" t="s">
        <v>18</v>
      </c>
      <c r="J843" s="1" t="s">
        <v>25</v>
      </c>
      <c r="K843" s="1" t="s">
        <v>26</v>
      </c>
      <c r="L843" s="1" t="s">
        <v>1090</v>
      </c>
      <c r="M843" s="10">
        <v>908.91</v>
      </c>
      <c r="N843" s="8">
        <v>10</v>
      </c>
      <c r="O843" s="6">
        <v>0.33</v>
      </c>
      <c r="P843" s="10">
        <v>595.65</v>
      </c>
      <c r="Q843" s="11">
        <f t="shared" si="80"/>
        <v>313.26</v>
      </c>
      <c r="R843" t="str">
        <f t="shared" si="83"/>
        <v>profit</v>
      </c>
    </row>
    <row r="844" spans="1:18" ht="15.75" customHeight="1" x14ac:dyDescent="0.4">
      <c r="A844" s="1" t="s">
        <v>1687</v>
      </c>
      <c r="B844" s="2">
        <v>45363</v>
      </c>
      <c r="C844" s="2">
        <v>45372</v>
      </c>
      <c r="D844" s="2" t="str">
        <f t="shared" si="81"/>
        <v>2024</v>
      </c>
      <c r="E844" s="2" t="str">
        <f t="shared" si="78"/>
        <v>March</v>
      </c>
      <c r="F844" s="2" t="str">
        <f t="shared" si="82"/>
        <v>Q2</v>
      </c>
      <c r="G844" s="13">
        <f t="shared" si="79"/>
        <v>9</v>
      </c>
      <c r="H844" s="12" t="s">
        <v>42</v>
      </c>
      <c r="I844" s="1" t="s">
        <v>46</v>
      </c>
      <c r="J844" s="1" t="s">
        <v>25</v>
      </c>
      <c r="K844" s="1" t="s">
        <v>47</v>
      </c>
      <c r="L844" s="1" t="s">
        <v>1152</v>
      </c>
      <c r="M844" s="10">
        <v>276.33999999999997</v>
      </c>
      <c r="N844" s="8">
        <v>9</v>
      </c>
      <c r="O844" s="6">
        <v>0.38</v>
      </c>
      <c r="P844" s="10">
        <v>154.22</v>
      </c>
      <c r="Q844" s="11">
        <f t="shared" si="80"/>
        <v>122.11999999999998</v>
      </c>
      <c r="R844" t="str">
        <f t="shared" si="83"/>
        <v>profit</v>
      </c>
    </row>
    <row r="845" spans="1:18" ht="15.75" customHeight="1" x14ac:dyDescent="0.4">
      <c r="A845" s="1" t="s">
        <v>1688</v>
      </c>
      <c r="B845" s="2">
        <v>45293</v>
      </c>
      <c r="C845" s="2">
        <v>45298</v>
      </c>
      <c r="D845" s="2" t="str">
        <f t="shared" si="81"/>
        <v>2024</v>
      </c>
      <c r="E845" s="2" t="str">
        <f t="shared" si="78"/>
        <v>January</v>
      </c>
      <c r="F845" s="2" t="str">
        <f t="shared" si="82"/>
        <v>Q1</v>
      </c>
      <c r="G845" s="13">
        <f t="shared" si="79"/>
        <v>5</v>
      </c>
      <c r="H845" s="12" t="s">
        <v>1986</v>
      </c>
      <c r="I845" s="1" t="s">
        <v>24</v>
      </c>
      <c r="J845" s="1" t="s">
        <v>25</v>
      </c>
      <c r="K845" s="1" t="s">
        <v>26</v>
      </c>
      <c r="L845" s="1" t="s">
        <v>1689</v>
      </c>
      <c r="M845" s="10">
        <v>196.9</v>
      </c>
      <c r="N845" s="8">
        <v>2</v>
      </c>
      <c r="O845" s="6">
        <v>0.48</v>
      </c>
      <c r="P845" s="10">
        <v>75.77</v>
      </c>
      <c r="Q845" s="11">
        <f t="shared" si="80"/>
        <v>121.13000000000001</v>
      </c>
      <c r="R845" t="str">
        <f t="shared" si="83"/>
        <v>profit</v>
      </c>
    </row>
    <row r="846" spans="1:18" ht="15.75" customHeight="1" x14ac:dyDescent="0.4">
      <c r="A846" s="1" t="s">
        <v>1690</v>
      </c>
      <c r="B846" s="2">
        <v>45462</v>
      </c>
      <c r="C846" s="2">
        <v>45470</v>
      </c>
      <c r="D846" s="2" t="str">
        <f t="shared" si="81"/>
        <v>2024</v>
      </c>
      <c r="E846" s="2" t="str">
        <f t="shared" si="78"/>
        <v>June</v>
      </c>
      <c r="F846" s="2" t="str">
        <f t="shared" si="82"/>
        <v>Q3</v>
      </c>
      <c r="G846" s="13">
        <f t="shared" si="79"/>
        <v>8</v>
      </c>
      <c r="H846" s="12" t="s">
        <v>1987</v>
      </c>
      <c r="I846" s="1" t="s">
        <v>59</v>
      </c>
      <c r="J846" s="1" t="s">
        <v>19</v>
      </c>
      <c r="K846" s="1" t="s">
        <v>92</v>
      </c>
      <c r="L846" s="1" t="s">
        <v>1691</v>
      </c>
      <c r="M846" s="10">
        <v>827.78</v>
      </c>
      <c r="N846" s="8">
        <v>9</v>
      </c>
      <c r="O846" s="6">
        <v>0.39</v>
      </c>
      <c r="P846" s="10">
        <v>476.55</v>
      </c>
      <c r="Q846" s="11">
        <f t="shared" si="80"/>
        <v>351.22999999999996</v>
      </c>
      <c r="R846" t="str">
        <f t="shared" si="83"/>
        <v>profit</v>
      </c>
    </row>
    <row r="847" spans="1:18" ht="15.75" customHeight="1" x14ac:dyDescent="0.4">
      <c r="A847" s="1" t="s">
        <v>1692</v>
      </c>
      <c r="B847" s="2">
        <v>45127</v>
      </c>
      <c r="C847" s="2">
        <v>45132</v>
      </c>
      <c r="D847" s="2" t="str">
        <f t="shared" si="81"/>
        <v>2023</v>
      </c>
      <c r="E847" s="2" t="str">
        <f t="shared" si="78"/>
        <v>July</v>
      </c>
      <c r="F847" s="2" t="str">
        <f t="shared" si="82"/>
        <v>Q3</v>
      </c>
      <c r="G847" s="13">
        <f t="shared" si="79"/>
        <v>5</v>
      </c>
      <c r="H847" s="12" t="s">
        <v>23</v>
      </c>
      <c r="I847" s="1" t="s">
        <v>29</v>
      </c>
      <c r="J847" s="1" t="s">
        <v>14</v>
      </c>
      <c r="K847" s="1" t="s">
        <v>54</v>
      </c>
      <c r="L847" s="1" t="s">
        <v>1693</v>
      </c>
      <c r="M847" s="10">
        <v>957.69</v>
      </c>
      <c r="N847" s="8">
        <v>8</v>
      </c>
      <c r="O847" s="6">
        <v>0.03</v>
      </c>
      <c r="P847" s="10">
        <v>903.05</v>
      </c>
      <c r="Q847" s="11">
        <f t="shared" si="80"/>
        <v>54.6400000000001</v>
      </c>
      <c r="R847" t="str">
        <f t="shared" si="83"/>
        <v>profit</v>
      </c>
    </row>
    <row r="848" spans="1:18" ht="15.75" customHeight="1" x14ac:dyDescent="0.4">
      <c r="A848" s="1" t="s">
        <v>1694</v>
      </c>
      <c r="B848" s="2">
        <v>45217</v>
      </c>
      <c r="C848" s="2">
        <v>45218</v>
      </c>
      <c r="D848" s="2" t="str">
        <f t="shared" si="81"/>
        <v>2023</v>
      </c>
      <c r="E848" s="2" t="str">
        <f t="shared" si="78"/>
        <v>October</v>
      </c>
      <c r="F848" s="2" t="str">
        <f t="shared" si="82"/>
        <v>Q4</v>
      </c>
      <c r="G848" s="13">
        <f t="shared" si="79"/>
        <v>1</v>
      </c>
      <c r="H848" s="12" t="s">
        <v>1986</v>
      </c>
      <c r="I848" s="1" t="s">
        <v>29</v>
      </c>
      <c r="J848" s="1" t="s">
        <v>25</v>
      </c>
      <c r="K848" s="1" t="s">
        <v>26</v>
      </c>
      <c r="L848" s="1" t="s">
        <v>1695</v>
      </c>
      <c r="M848" s="10">
        <v>946.65</v>
      </c>
      <c r="N848" s="8">
        <v>10</v>
      </c>
      <c r="O848" s="6">
        <v>0.15</v>
      </c>
      <c r="P848" s="10">
        <v>787.82</v>
      </c>
      <c r="Q848" s="11">
        <f t="shared" si="80"/>
        <v>158.82999999999993</v>
      </c>
      <c r="R848" t="str">
        <f t="shared" si="83"/>
        <v>profit</v>
      </c>
    </row>
    <row r="849" spans="1:18" ht="15.75" customHeight="1" x14ac:dyDescent="0.4">
      <c r="A849" s="1" t="s">
        <v>1696</v>
      </c>
      <c r="B849" s="2">
        <v>45401</v>
      </c>
      <c r="C849" s="2">
        <v>45409</v>
      </c>
      <c r="D849" s="2" t="str">
        <f t="shared" si="81"/>
        <v>2024</v>
      </c>
      <c r="E849" s="2" t="str">
        <f t="shared" si="78"/>
        <v>April</v>
      </c>
      <c r="F849" s="2" t="str">
        <f t="shared" si="82"/>
        <v>Q2</v>
      </c>
      <c r="G849" s="13">
        <f t="shared" si="79"/>
        <v>8</v>
      </c>
      <c r="H849" s="12" t="s">
        <v>1986</v>
      </c>
      <c r="I849" s="1" t="s">
        <v>24</v>
      </c>
      <c r="J849" s="1" t="s">
        <v>19</v>
      </c>
      <c r="K849" s="1" t="s">
        <v>35</v>
      </c>
      <c r="L849" s="1" t="s">
        <v>1697</v>
      </c>
      <c r="M849" s="10">
        <v>556.97</v>
      </c>
      <c r="N849" s="8">
        <v>5</v>
      </c>
      <c r="O849" s="6">
        <v>0.44</v>
      </c>
      <c r="P849" s="10">
        <v>274.39</v>
      </c>
      <c r="Q849" s="11">
        <f t="shared" si="80"/>
        <v>282.58000000000004</v>
      </c>
      <c r="R849" t="str">
        <f t="shared" si="83"/>
        <v>profit</v>
      </c>
    </row>
    <row r="850" spans="1:18" ht="15.75" customHeight="1" x14ac:dyDescent="0.4">
      <c r="A850" s="1" t="s">
        <v>1698</v>
      </c>
      <c r="B850" s="2">
        <v>45077</v>
      </c>
      <c r="C850" s="2">
        <v>45080</v>
      </c>
      <c r="D850" s="2" t="str">
        <f t="shared" si="81"/>
        <v>2023</v>
      </c>
      <c r="E850" s="2" t="str">
        <f t="shared" si="78"/>
        <v>June</v>
      </c>
      <c r="F850" s="2" t="str">
        <f t="shared" si="82"/>
        <v>Q3</v>
      </c>
      <c r="G850" s="13">
        <f t="shared" si="79"/>
        <v>3</v>
      </c>
      <c r="H850" s="12" t="s">
        <v>42</v>
      </c>
      <c r="I850" s="1" t="s">
        <v>46</v>
      </c>
      <c r="J850" s="1" t="s">
        <v>14</v>
      </c>
      <c r="K850" s="1" t="s">
        <v>30</v>
      </c>
      <c r="L850" s="1" t="s">
        <v>1699</v>
      </c>
      <c r="M850" s="10">
        <v>181.96</v>
      </c>
      <c r="N850" s="8">
        <v>4</v>
      </c>
      <c r="O850" s="6">
        <v>7.0000000000000007E-2</v>
      </c>
      <c r="P850" s="10">
        <v>139.16999999999999</v>
      </c>
      <c r="Q850" s="11">
        <f t="shared" si="80"/>
        <v>42.79000000000002</v>
      </c>
      <c r="R850" t="str">
        <f t="shared" si="83"/>
        <v>profit</v>
      </c>
    </row>
    <row r="851" spans="1:18" ht="15.75" customHeight="1" x14ac:dyDescent="0.4">
      <c r="A851" s="1" t="s">
        <v>1700</v>
      </c>
      <c r="B851" s="2">
        <v>45277</v>
      </c>
      <c r="C851" s="2">
        <v>45284</v>
      </c>
      <c r="D851" s="2" t="str">
        <f t="shared" si="81"/>
        <v>2023</v>
      </c>
      <c r="E851" s="2" t="str">
        <f t="shared" si="78"/>
        <v>December</v>
      </c>
      <c r="F851" s="2" t="str">
        <f t="shared" si="82"/>
        <v>Q4</v>
      </c>
      <c r="G851" s="13">
        <f t="shared" si="79"/>
        <v>7</v>
      </c>
      <c r="H851" s="12" t="s">
        <v>1986</v>
      </c>
      <c r="I851" s="1" t="s">
        <v>24</v>
      </c>
      <c r="J851" s="1" t="s">
        <v>14</v>
      </c>
      <c r="K851" s="1" t="s">
        <v>30</v>
      </c>
      <c r="L851" s="1" t="s">
        <v>1701</v>
      </c>
      <c r="M851" s="10">
        <v>924.77</v>
      </c>
      <c r="N851" s="8">
        <v>4</v>
      </c>
      <c r="O851" s="6">
        <v>0.16</v>
      </c>
      <c r="P851" s="10">
        <v>743.71</v>
      </c>
      <c r="Q851" s="11">
        <f t="shared" si="80"/>
        <v>181.05999999999995</v>
      </c>
      <c r="R851" t="str">
        <f t="shared" si="83"/>
        <v>profit</v>
      </c>
    </row>
    <row r="852" spans="1:18" ht="15.75" customHeight="1" x14ac:dyDescent="0.4">
      <c r="A852" s="1" t="s">
        <v>1704</v>
      </c>
      <c r="B852" s="2">
        <v>45576</v>
      </c>
      <c r="C852" s="2">
        <v>45580</v>
      </c>
      <c r="D852" s="2" t="str">
        <f t="shared" si="81"/>
        <v>2024</v>
      </c>
      <c r="E852" s="2" t="str">
        <f t="shared" si="78"/>
        <v>October</v>
      </c>
      <c r="F852" s="2" t="str">
        <f t="shared" si="82"/>
        <v>Q4</v>
      </c>
      <c r="G852" s="13">
        <f t="shared" si="79"/>
        <v>4</v>
      </c>
      <c r="H852" s="12" t="s">
        <v>42</v>
      </c>
      <c r="I852" s="1" t="s">
        <v>29</v>
      </c>
      <c r="J852" s="1" t="s">
        <v>19</v>
      </c>
      <c r="K852" s="1" t="s">
        <v>20</v>
      </c>
      <c r="L852" s="1" t="s">
        <v>1705</v>
      </c>
      <c r="M852" s="10">
        <v>372</v>
      </c>
      <c r="N852" s="8">
        <v>4</v>
      </c>
      <c r="O852" s="6">
        <v>0.25</v>
      </c>
      <c r="P852" s="10">
        <v>268.23</v>
      </c>
      <c r="Q852" s="11">
        <f t="shared" si="80"/>
        <v>103.76999999999998</v>
      </c>
      <c r="R852" t="str">
        <f t="shared" si="83"/>
        <v>profit</v>
      </c>
    </row>
    <row r="853" spans="1:18" ht="15.75" customHeight="1" x14ac:dyDescent="0.4">
      <c r="A853" s="1" t="s">
        <v>1706</v>
      </c>
      <c r="B853" s="2">
        <v>45516</v>
      </c>
      <c r="C853" s="2">
        <v>45525</v>
      </c>
      <c r="D853" s="2" t="str">
        <f t="shared" si="81"/>
        <v>2024</v>
      </c>
      <c r="E853" s="2" t="str">
        <f t="shared" si="78"/>
        <v>August</v>
      </c>
      <c r="F853" s="2" t="str">
        <f t="shared" si="82"/>
        <v>Q3</v>
      </c>
      <c r="G853" s="13">
        <f t="shared" si="79"/>
        <v>9</v>
      </c>
      <c r="H853" s="12" t="s">
        <v>23</v>
      </c>
      <c r="I853" s="1" t="s">
        <v>13</v>
      </c>
      <c r="J853" s="1" t="s">
        <v>19</v>
      </c>
      <c r="K853" s="1" t="s">
        <v>35</v>
      </c>
      <c r="L853" s="1" t="s">
        <v>606</v>
      </c>
      <c r="M853" s="10">
        <v>360.58</v>
      </c>
      <c r="N853" s="8">
        <v>1</v>
      </c>
      <c r="O853" s="6">
        <v>0.4</v>
      </c>
      <c r="P853" s="10">
        <v>173.98</v>
      </c>
      <c r="Q853" s="11">
        <f t="shared" si="80"/>
        <v>186.6</v>
      </c>
      <c r="R853" t="str">
        <f t="shared" si="83"/>
        <v>profit</v>
      </c>
    </row>
    <row r="854" spans="1:18" ht="15.75" customHeight="1" x14ac:dyDescent="0.4">
      <c r="A854" s="1" t="s">
        <v>1707</v>
      </c>
      <c r="B854" s="2">
        <v>45359</v>
      </c>
      <c r="C854" s="2">
        <v>45365</v>
      </c>
      <c r="D854" s="2" t="str">
        <f t="shared" si="81"/>
        <v>2024</v>
      </c>
      <c r="E854" s="2" t="str">
        <f t="shared" si="78"/>
        <v>March</v>
      </c>
      <c r="F854" s="2" t="str">
        <f t="shared" si="82"/>
        <v>Q2</v>
      </c>
      <c r="G854" s="13">
        <f t="shared" si="79"/>
        <v>6</v>
      </c>
      <c r="H854" s="12" t="s">
        <v>1987</v>
      </c>
      <c r="I854" s="1" t="s">
        <v>18</v>
      </c>
      <c r="J854" s="1" t="s">
        <v>19</v>
      </c>
      <c r="K854" s="1" t="s">
        <v>20</v>
      </c>
      <c r="L854" s="1" t="s">
        <v>1708</v>
      </c>
      <c r="M854" s="10">
        <v>733.82</v>
      </c>
      <c r="N854" s="8">
        <v>1</v>
      </c>
      <c r="O854" s="6">
        <v>0.44</v>
      </c>
      <c r="P854" s="10">
        <v>387.53</v>
      </c>
      <c r="Q854" s="11">
        <f t="shared" si="80"/>
        <v>346.29000000000008</v>
      </c>
      <c r="R854" t="str">
        <f t="shared" si="83"/>
        <v>profit</v>
      </c>
    </row>
    <row r="855" spans="1:18" ht="15.75" customHeight="1" x14ac:dyDescent="0.4">
      <c r="A855" s="1" t="s">
        <v>1709</v>
      </c>
      <c r="B855" s="2">
        <v>45400</v>
      </c>
      <c r="C855" s="2">
        <v>45403</v>
      </c>
      <c r="D855" s="2" t="str">
        <f t="shared" si="81"/>
        <v>2024</v>
      </c>
      <c r="E855" s="2" t="str">
        <f t="shared" si="78"/>
        <v>April</v>
      </c>
      <c r="F855" s="2" t="str">
        <f t="shared" si="82"/>
        <v>Q2</v>
      </c>
      <c r="G855" s="13">
        <f t="shared" si="79"/>
        <v>3</v>
      </c>
      <c r="H855" s="12" t="s">
        <v>1986</v>
      </c>
      <c r="I855" s="1" t="s">
        <v>46</v>
      </c>
      <c r="J855" s="1" t="s">
        <v>19</v>
      </c>
      <c r="K855" s="1" t="s">
        <v>20</v>
      </c>
      <c r="L855" s="1" t="s">
        <v>211</v>
      </c>
      <c r="M855" s="10">
        <v>804.58</v>
      </c>
      <c r="N855" s="8">
        <v>5</v>
      </c>
      <c r="O855" s="6">
        <v>0.06</v>
      </c>
      <c r="P855" s="10">
        <v>717.78</v>
      </c>
      <c r="Q855" s="11">
        <f t="shared" si="80"/>
        <v>86.800000000000068</v>
      </c>
      <c r="R855" t="str">
        <f t="shared" si="83"/>
        <v>profit</v>
      </c>
    </row>
    <row r="856" spans="1:18" ht="15.75" customHeight="1" x14ac:dyDescent="0.4">
      <c r="A856" s="1" t="s">
        <v>1710</v>
      </c>
      <c r="B856" s="2">
        <v>45170</v>
      </c>
      <c r="C856" s="2">
        <v>45172</v>
      </c>
      <c r="D856" s="2" t="str">
        <f t="shared" si="81"/>
        <v>2023</v>
      </c>
      <c r="E856" s="2" t="str">
        <f t="shared" si="78"/>
        <v>September</v>
      </c>
      <c r="F856" s="2" t="str">
        <f t="shared" si="82"/>
        <v>Q4</v>
      </c>
      <c r="G856" s="13">
        <f t="shared" si="79"/>
        <v>2</v>
      </c>
      <c r="H856" s="12" t="s">
        <v>1987</v>
      </c>
      <c r="I856" s="1" t="s">
        <v>50</v>
      </c>
      <c r="J856" s="1" t="s">
        <v>14</v>
      </c>
      <c r="K856" s="1" t="s">
        <v>15</v>
      </c>
      <c r="L856" s="1" t="s">
        <v>1711</v>
      </c>
      <c r="M856" s="10">
        <v>63.47</v>
      </c>
      <c r="N856" s="8">
        <v>9</v>
      </c>
      <c r="O856" s="6">
        <v>0.16</v>
      </c>
      <c r="P856" s="10">
        <v>8.08</v>
      </c>
      <c r="Q856" s="11">
        <f t="shared" si="80"/>
        <v>55.39</v>
      </c>
      <c r="R856" t="str">
        <f t="shared" si="83"/>
        <v>profit</v>
      </c>
    </row>
    <row r="857" spans="1:18" ht="15.75" customHeight="1" x14ac:dyDescent="0.4">
      <c r="A857" s="1" t="s">
        <v>1712</v>
      </c>
      <c r="B857" s="2">
        <v>45264</v>
      </c>
      <c r="C857" s="2">
        <v>45267</v>
      </c>
      <c r="D857" s="2" t="str">
        <f t="shared" si="81"/>
        <v>2023</v>
      </c>
      <c r="E857" s="2" t="str">
        <f t="shared" si="78"/>
        <v>December</v>
      </c>
      <c r="F857" s="2" t="str">
        <f t="shared" si="82"/>
        <v>Q4</v>
      </c>
      <c r="G857" s="13">
        <f t="shared" si="79"/>
        <v>3</v>
      </c>
      <c r="H857" s="12" t="s">
        <v>1987</v>
      </c>
      <c r="I857" s="1" t="s">
        <v>46</v>
      </c>
      <c r="J857" s="1" t="s">
        <v>25</v>
      </c>
      <c r="K857" s="1" t="s">
        <v>43</v>
      </c>
      <c r="L857" s="1" t="s">
        <v>1713</v>
      </c>
      <c r="M857" s="10">
        <v>612.33000000000004</v>
      </c>
      <c r="N857" s="8">
        <v>9</v>
      </c>
      <c r="O857" s="6">
        <v>0.27</v>
      </c>
      <c r="P857" s="10">
        <v>410.47</v>
      </c>
      <c r="Q857" s="11">
        <f t="shared" si="80"/>
        <v>201.86</v>
      </c>
      <c r="R857" t="str">
        <f t="shared" si="83"/>
        <v>profit</v>
      </c>
    </row>
    <row r="858" spans="1:18" ht="15.75" customHeight="1" x14ac:dyDescent="0.4">
      <c r="A858" s="1" t="s">
        <v>1714</v>
      </c>
      <c r="B858" s="2">
        <v>45188</v>
      </c>
      <c r="C858" s="2">
        <v>45194</v>
      </c>
      <c r="D858" s="2" t="str">
        <f t="shared" si="81"/>
        <v>2023</v>
      </c>
      <c r="E858" s="2" t="str">
        <f t="shared" si="78"/>
        <v>September</v>
      </c>
      <c r="F858" s="2" t="str">
        <f t="shared" si="82"/>
        <v>Q4</v>
      </c>
      <c r="G858" s="13">
        <f t="shared" si="79"/>
        <v>6</v>
      </c>
      <c r="H858" s="12" t="s">
        <v>1987</v>
      </c>
      <c r="I858" s="1" t="s">
        <v>53</v>
      </c>
      <c r="J858" s="1" t="s">
        <v>25</v>
      </c>
      <c r="K858" s="1" t="s">
        <v>26</v>
      </c>
      <c r="L858" s="1" t="s">
        <v>1715</v>
      </c>
      <c r="M858" s="10">
        <v>647.92999999999995</v>
      </c>
      <c r="N858" s="8">
        <v>5</v>
      </c>
      <c r="O858" s="6">
        <v>0</v>
      </c>
      <c r="P858" s="10">
        <v>621.75</v>
      </c>
      <c r="Q858" s="11">
        <f t="shared" si="80"/>
        <v>26.17999999999995</v>
      </c>
      <c r="R858" t="str">
        <f t="shared" si="83"/>
        <v>profit</v>
      </c>
    </row>
    <row r="859" spans="1:18" ht="15.75" customHeight="1" x14ac:dyDescent="0.4">
      <c r="A859" s="1" t="s">
        <v>1716</v>
      </c>
      <c r="B859" s="2">
        <v>45094</v>
      </c>
      <c r="C859" s="2">
        <v>45098</v>
      </c>
      <c r="D859" s="2" t="str">
        <f t="shared" si="81"/>
        <v>2023</v>
      </c>
      <c r="E859" s="2" t="str">
        <f t="shared" si="78"/>
        <v>June</v>
      </c>
      <c r="F859" s="2" t="str">
        <f t="shared" si="82"/>
        <v>Q3</v>
      </c>
      <c r="G859" s="13">
        <f t="shared" si="79"/>
        <v>4</v>
      </c>
      <c r="H859" s="12" t="s">
        <v>1987</v>
      </c>
      <c r="I859" s="1" t="s">
        <v>59</v>
      </c>
      <c r="J859" s="1" t="s">
        <v>19</v>
      </c>
      <c r="K859" s="1" t="s">
        <v>92</v>
      </c>
      <c r="L859" s="1" t="s">
        <v>1717</v>
      </c>
      <c r="M859" s="10">
        <v>930.23</v>
      </c>
      <c r="N859" s="8">
        <v>9</v>
      </c>
      <c r="O859" s="6">
        <v>0.3</v>
      </c>
      <c r="P859" s="10">
        <v>617.26</v>
      </c>
      <c r="Q859" s="11">
        <f t="shared" si="80"/>
        <v>312.97000000000003</v>
      </c>
      <c r="R859" t="str">
        <f t="shared" si="83"/>
        <v>profit</v>
      </c>
    </row>
    <row r="860" spans="1:18" ht="15.75" customHeight="1" x14ac:dyDescent="0.4">
      <c r="A860" s="1" t="s">
        <v>1718</v>
      </c>
      <c r="B860" s="2">
        <v>45505</v>
      </c>
      <c r="C860" s="2">
        <v>45507</v>
      </c>
      <c r="D860" s="2" t="str">
        <f t="shared" si="81"/>
        <v>2024</v>
      </c>
      <c r="E860" s="2" t="str">
        <f t="shared" si="78"/>
        <v>August</v>
      </c>
      <c r="F860" s="2" t="str">
        <f t="shared" si="82"/>
        <v>Q3</v>
      </c>
      <c r="G860" s="13">
        <f t="shared" si="79"/>
        <v>2</v>
      </c>
      <c r="H860" s="12" t="s">
        <v>1986</v>
      </c>
      <c r="I860" s="1" t="s">
        <v>59</v>
      </c>
      <c r="J860" s="1" t="s">
        <v>25</v>
      </c>
      <c r="K860" s="1" t="s">
        <v>26</v>
      </c>
      <c r="L860" s="1" t="s">
        <v>1327</v>
      </c>
      <c r="M860" s="10">
        <v>832.77</v>
      </c>
      <c r="N860" s="8">
        <v>7</v>
      </c>
      <c r="O860" s="6">
        <v>0.2</v>
      </c>
      <c r="P860" s="10">
        <v>645.36</v>
      </c>
      <c r="Q860" s="11">
        <f t="shared" si="80"/>
        <v>187.40999999999997</v>
      </c>
      <c r="R860" t="str">
        <f t="shared" si="83"/>
        <v>profit</v>
      </c>
    </row>
    <row r="861" spans="1:18" ht="15.75" customHeight="1" x14ac:dyDescent="0.4">
      <c r="A861" s="1" t="s">
        <v>1719</v>
      </c>
      <c r="B861" s="2">
        <v>45289</v>
      </c>
      <c r="C861" s="2">
        <v>45295</v>
      </c>
      <c r="D861" s="2" t="str">
        <f t="shared" si="81"/>
        <v>2023</v>
      </c>
      <c r="E861" s="2" t="str">
        <f t="shared" si="78"/>
        <v>January</v>
      </c>
      <c r="F861" s="2" t="str">
        <f t="shared" si="82"/>
        <v>Q1</v>
      </c>
      <c r="G861" s="13">
        <f t="shared" si="79"/>
        <v>6</v>
      </c>
      <c r="H861" s="12" t="s">
        <v>1986</v>
      </c>
      <c r="I861" s="1" t="s">
        <v>46</v>
      </c>
      <c r="J861" s="1" t="s">
        <v>14</v>
      </c>
      <c r="K861" s="1" t="s">
        <v>54</v>
      </c>
      <c r="L861" s="1" t="s">
        <v>1720</v>
      </c>
      <c r="M861" s="10">
        <v>41.43</v>
      </c>
      <c r="N861" s="8">
        <v>5</v>
      </c>
      <c r="O861" s="6">
        <v>0.45</v>
      </c>
      <c r="P861" s="10">
        <v>12.39</v>
      </c>
      <c r="Q861" s="11">
        <f t="shared" si="80"/>
        <v>29.04</v>
      </c>
      <c r="R861" t="str">
        <f t="shared" si="83"/>
        <v>profit</v>
      </c>
    </row>
    <row r="862" spans="1:18" ht="15.75" customHeight="1" x14ac:dyDescent="0.4">
      <c r="A862" s="1" t="s">
        <v>1721</v>
      </c>
      <c r="B862" s="2">
        <v>45457</v>
      </c>
      <c r="C862" s="2">
        <v>45457</v>
      </c>
      <c r="D862" s="2" t="str">
        <f t="shared" si="81"/>
        <v>2024</v>
      </c>
      <c r="E862" s="2" t="str">
        <f t="shared" si="78"/>
        <v>June</v>
      </c>
      <c r="F862" s="2" t="str">
        <f t="shared" si="82"/>
        <v>Q3</v>
      </c>
      <c r="G862" s="13">
        <f t="shared" si="79"/>
        <v>0</v>
      </c>
      <c r="H862" s="12" t="s">
        <v>1986</v>
      </c>
      <c r="I862" s="1" t="s">
        <v>18</v>
      </c>
      <c r="J862" s="1" t="s">
        <v>14</v>
      </c>
      <c r="K862" s="1" t="s">
        <v>30</v>
      </c>
      <c r="L862" s="1" t="s">
        <v>1722</v>
      </c>
      <c r="M862" s="10">
        <v>424.64</v>
      </c>
      <c r="N862" s="8">
        <v>6</v>
      </c>
      <c r="O862" s="6">
        <v>0.19</v>
      </c>
      <c r="P862" s="10">
        <v>302.97000000000003</v>
      </c>
      <c r="Q862" s="11">
        <f t="shared" si="80"/>
        <v>121.66999999999996</v>
      </c>
      <c r="R862" t="str">
        <f t="shared" si="83"/>
        <v>profit</v>
      </c>
    </row>
    <row r="863" spans="1:18" ht="15.75" customHeight="1" x14ac:dyDescent="0.4">
      <c r="A863" s="1" t="s">
        <v>1723</v>
      </c>
      <c r="B863" s="2">
        <v>45167</v>
      </c>
      <c r="C863" s="2">
        <v>45168</v>
      </c>
      <c r="D863" s="2" t="str">
        <f t="shared" si="81"/>
        <v>2023</v>
      </c>
      <c r="E863" s="2" t="str">
        <f t="shared" si="78"/>
        <v>August</v>
      </c>
      <c r="F863" s="2" t="str">
        <f t="shared" si="82"/>
        <v>Q3</v>
      </c>
      <c r="G863" s="13">
        <f t="shared" si="79"/>
        <v>1</v>
      </c>
      <c r="H863" s="12" t="s">
        <v>1986</v>
      </c>
      <c r="I863" s="1" t="s">
        <v>50</v>
      </c>
      <c r="J863" s="1" t="s">
        <v>14</v>
      </c>
      <c r="K863" s="1" t="s">
        <v>54</v>
      </c>
      <c r="L863" s="1" t="s">
        <v>1724</v>
      </c>
      <c r="M863" s="10">
        <v>216.16</v>
      </c>
      <c r="N863" s="8">
        <v>3</v>
      </c>
      <c r="O863" s="6">
        <v>0.26</v>
      </c>
      <c r="P863" s="10">
        <v>120.08</v>
      </c>
      <c r="Q863" s="11">
        <f t="shared" si="80"/>
        <v>96.08</v>
      </c>
      <c r="R863" t="str">
        <f t="shared" si="83"/>
        <v>profit</v>
      </c>
    </row>
    <row r="864" spans="1:18" ht="15.75" customHeight="1" x14ac:dyDescent="0.4">
      <c r="A864" s="1" t="s">
        <v>1725</v>
      </c>
      <c r="B864" s="2">
        <v>45325</v>
      </c>
      <c r="C864" s="2">
        <v>45330</v>
      </c>
      <c r="D864" s="2" t="str">
        <f t="shared" si="81"/>
        <v>2024</v>
      </c>
      <c r="E864" s="2" t="str">
        <f t="shared" si="78"/>
        <v>February</v>
      </c>
      <c r="F864" s="2" t="str">
        <f t="shared" si="82"/>
        <v>Q1</v>
      </c>
      <c r="G864" s="13">
        <f t="shared" si="79"/>
        <v>5</v>
      </c>
      <c r="H864" s="12" t="s">
        <v>42</v>
      </c>
      <c r="I864" s="1" t="s">
        <v>29</v>
      </c>
      <c r="J864" s="1" t="s">
        <v>14</v>
      </c>
      <c r="K864" s="1" t="s">
        <v>15</v>
      </c>
      <c r="L864" s="1" t="s">
        <v>1726</v>
      </c>
      <c r="M864" s="10">
        <v>666.82</v>
      </c>
      <c r="N864" s="8">
        <v>7</v>
      </c>
      <c r="O864" s="6">
        <v>0.49</v>
      </c>
      <c r="P864" s="10">
        <v>328.06</v>
      </c>
      <c r="Q864" s="11">
        <f t="shared" si="80"/>
        <v>338.76000000000005</v>
      </c>
      <c r="R864" t="str">
        <f t="shared" si="83"/>
        <v>profit</v>
      </c>
    </row>
    <row r="865" spans="1:18" ht="15.75" customHeight="1" x14ac:dyDescent="0.4">
      <c r="A865" s="1" t="s">
        <v>1727</v>
      </c>
      <c r="B865" s="2">
        <v>45526</v>
      </c>
      <c r="C865" s="2">
        <v>45530</v>
      </c>
      <c r="D865" s="2" t="str">
        <f t="shared" si="81"/>
        <v>2024</v>
      </c>
      <c r="E865" s="2" t="str">
        <f t="shared" si="78"/>
        <v>August</v>
      </c>
      <c r="F865" s="2" t="str">
        <f t="shared" si="82"/>
        <v>Q3</v>
      </c>
      <c r="G865" s="13">
        <f t="shared" si="79"/>
        <v>4</v>
      </c>
      <c r="H865" s="12" t="s">
        <v>42</v>
      </c>
      <c r="I865" s="1" t="s">
        <v>53</v>
      </c>
      <c r="J865" s="1" t="s">
        <v>14</v>
      </c>
      <c r="K865" s="1" t="s">
        <v>30</v>
      </c>
      <c r="L865" s="1" t="s">
        <v>1728</v>
      </c>
      <c r="M865" s="10">
        <v>82.56</v>
      </c>
      <c r="N865" s="8">
        <v>10</v>
      </c>
      <c r="O865" s="6">
        <v>0.28000000000000003</v>
      </c>
      <c r="P865" s="10">
        <v>48.79</v>
      </c>
      <c r="Q865" s="11">
        <f t="shared" si="80"/>
        <v>33.770000000000003</v>
      </c>
      <c r="R865" t="str">
        <f t="shared" si="83"/>
        <v>profit</v>
      </c>
    </row>
    <row r="866" spans="1:18" ht="15.75" customHeight="1" x14ac:dyDescent="0.4">
      <c r="A866" s="1" t="s">
        <v>1729</v>
      </c>
      <c r="B866" s="2">
        <v>45044</v>
      </c>
      <c r="C866" s="2">
        <v>45050</v>
      </c>
      <c r="D866" s="2" t="str">
        <f t="shared" si="81"/>
        <v>2023</v>
      </c>
      <c r="E866" s="2" t="str">
        <f t="shared" si="78"/>
        <v>May</v>
      </c>
      <c r="F866" s="2" t="str">
        <f t="shared" si="82"/>
        <v>Q2</v>
      </c>
      <c r="G866" s="13">
        <f t="shared" si="79"/>
        <v>6</v>
      </c>
      <c r="H866" s="12" t="s">
        <v>1987</v>
      </c>
      <c r="I866" s="1" t="s">
        <v>59</v>
      </c>
      <c r="J866" s="1" t="s">
        <v>25</v>
      </c>
      <c r="K866" s="1" t="s">
        <v>26</v>
      </c>
      <c r="L866" s="1" t="s">
        <v>1730</v>
      </c>
      <c r="M866" s="10">
        <v>240.53</v>
      </c>
      <c r="N866" s="8">
        <v>1</v>
      </c>
      <c r="O866" s="6">
        <v>0.05</v>
      </c>
      <c r="P866" s="10">
        <v>217.58</v>
      </c>
      <c r="Q866" s="11">
        <f t="shared" si="80"/>
        <v>22.949999999999989</v>
      </c>
      <c r="R866" t="str">
        <f t="shared" si="83"/>
        <v>profit</v>
      </c>
    </row>
    <row r="867" spans="1:18" ht="15.75" customHeight="1" x14ac:dyDescent="0.4">
      <c r="A867" s="1" t="s">
        <v>1731</v>
      </c>
      <c r="B867" s="2">
        <v>45065</v>
      </c>
      <c r="C867" s="2">
        <v>45068</v>
      </c>
      <c r="D867" s="2" t="str">
        <f t="shared" si="81"/>
        <v>2023</v>
      </c>
      <c r="E867" s="2" t="str">
        <f t="shared" si="78"/>
        <v>May</v>
      </c>
      <c r="F867" s="2" t="str">
        <f t="shared" si="82"/>
        <v>Q2</v>
      </c>
      <c r="G867" s="13">
        <f t="shared" si="79"/>
        <v>3</v>
      </c>
      <c r="H867" s="12" t="s">
        <v>1986</v>
      </c>
      <c r="I867" s="1" t="s">
        <v>59</v>
      </c>
      <c r="J867" s="1" t="s">
        <v>19</v>
      </c>
      <c r="K867" s="1" t="s">
        <v>35</v>
      </c>
      <c r="L867" s="1" t="s">
        <v>1732</v>
      </c>
      <c r="M867" s="10">
        <v>192.35</v>
      </c>
      <c r="N867" s="8">
        <v>8</v>
      </c>
      <c r="O867" s="6">
        <v>0.43</v>
      </c>
      <c r="P867" s="10">
        <v>96.41</v>
      </c>
      <c r="Q867" s="11">
        <f t="shared" si="80"/>
        <v>95.94</v>
      </c>
      <c r="R867" t="str">
        <f t="shared" si="83"/>
        <v>profit</v>
      </c>
    </row>
    <row r="868" spans="1:18" ht="15.75" customHeight="1" x14ac:dyDescent="0.4">
      <c r="A868" s="1" t="s">
        <v>1733</v>
      </c>
      <c r="B868" s="2">
        <v>45415</v>
      </c>
      <c r="C868" s="2">
        <v>45421</v>
      </c>
      <c r="D868" s="2" t="str">
        <f t="shared" si="81"/>
        <v>2024</v>
      </c>
      <c r="E868" s="2" t="str">
        <f t="shared" si="78"/>
        <v>May</v>
      </c>
      <c r="F868" s="2" t="str">
        <f t="shared" si="82"/>
        <v>Q2</v>
      </c>
      <c r="G868" s="13">
        <f t="shared" si="79"/>
        <v>6</v>
      </c>
      <c r="H868" s="12" t="s">
        <v>1987</v>
      </c>
      <c r="I868" s="1" t="s">
        <v>46</v>
      </c>
      <c r="J868" s="1" t="s">
        <v>14</v>
      </c>
      <c r="K868" s="1" t="s">
        <v>30</v>
      </c>
      <c r="L868" s="1" t="s">
        <v>1734</v>
      </c>
      <c r="M868" s="10">
        <v>985.27</v>
      </c>
      <c r="N868" s="8">
        <v>10</v>
      </c>
      <c r="O868" s="6">
        <v>0.2</v>
      </c>
      <c r="P868" s="10">
        <v>766.11</v>
      </c>
      <c r="Q868" s="11">
        <f t="shared" si="80"/>
        <v>219.15999999999997</v>
      </c>
      <c r="R868" t="str">
        <f t="shared" si="83"/>
        <v>profit</v>
      </c>
    </row>
    <row r="869" spans="1:18" ht="15.75" customHeight="1" x14ac:dyDescent="0.4">
      <c r="A869" s="1" t="s">
        <v>1735</v>
      </c>
      <c r="B869" s="2">
        <v>45373</v>
      </c>
      <c r="C869" s="2">
        <v>45381</v>
      </c>
      <c r="D869" s="2" t="str">
        <f t="shared" si="81"/>
        <v>2024</v>
      </c>
      <c r="E869" s="2" t="str">
        <f t="shared" si="78"/>
        <v>March</v>
      </c>
      <c r="F869" s="2" t="str">
        <f t="shared" si="82"/>
        <v>Q2</v>
      </c>
      <c r="G869" s="13">
        <f t="shared" si="79"/>
        <v>8</v>
      </c>
      <c r="H869" s="12" t="s">
        <v>1987</v>
      </c>
      <c r="I869" s="1" t="s">
        <v>13</v>
      </c>
      <c r="J869" s="1" t="s">
        <v>25</v>
      </c>
      <c r="K869" s="1" t="s">
        <v>47</v>
      </c>
      <c r="L869" s="1" t="s">
        <v>1736</v>
      </c>
      <c r="M869" s="10">
        <v>468.76</v>
      </c>
      <c r="N869" s="8">
        <v>10</v>
      </c>
      <c r="O869" s="6">
        <v>0.19</v>
      </c>
      <c r="P869" s="10">
        <v>367.61</v>
      </c>
      <c r="Q869" s="11">
        <f t="shared" si="80"/>
        <v>101.14999999999998</v>
      </c>
      <c r="R869" t="str">
        <f t="shared" si="83"/>
        <v>profit</v>
      </c>
    </row>
    <row r="870" spans="1:18" ht="15.75" customHeight="1" x14ac:dyDescent="0.4">
      <c r="A870" s="1" t="s">
        <v>1737</v>
      </c>
      <c r="B870" s="2">
        <v>45215</v>
      </c>
      <c r="C870" s="2">
        <v>45222</v>
      </c>
      <c r="D870" s="2" t="str">
        <f t="shared" si="81"/>
        <v>2023</v>
      </c>
      <c r="E870" s="2" t="str">
        <f t="shared" si="78"/>
        <v>October</v>
      </c>
      <c r="F870" s="2" t="str">
        <f t="shared" si="82"/>
        <v>Q4</v>
      </c>
      <c r="G870" s="13">
        <f t="shared" si="79"/>
        <v>7</v>
      </c>
      <c r="H870" s="12" t="s">
        <v>1986</v>
      </c>
      <c r="I870" s="1" t="s">
        <v>29</v>
      </c>
      <c r="J870" s="1" t="s">
        <v>25</v>
      </c>
      <c r="K870" s="1" t="s">
        <v>47</v>
      </c>
      <c r="L870" s="1" t="s">
        <v>1738</v>
      </c>
      <c r="M870" s="10">
        <v>66.12</v>
      </c>
      <c r="N870" s="8">
        <v>9</v>
      </c>
      <c r="O870" s="6">
        <v>0.28999999999999998</v>
      </c>
      <c r="P870" s="10">
        <v>17.850000000000001</v>
      </c>
      <c r="Q870" s="11">
        <f t="shared" si="80"/>
        <v>48.27</v>
      </c>
      <c r="R870" t="str">
        <f t="shared" si="83"/>
        <v>profit</v>
      </c>
    </row>
    <row r="871" spans="1:18" ht="15.75" customHeight="1" x14ac:dyDescent="0.4">
      <c r="A871" s="1" t="s">
        <v>1739</v>
      </c>
      <c r="B871" s="2">
        <v>45524</v>
      </c>
      <c r="C871" s="2">
        <v>45524</v>
      </c>
      <c r="D871" s="2" t="str">
        <f t="shared" si="81"/>
        <v>2024</v>
      </c>
      <c r="E871" s="2" t="str">
        <f t="shared" si="78"/>
        <v>August</v>
      </c>
      <c r="F871" s="2" t="str">
        <f t="shared" si="82"/>
        <v>Q3</v>
      </c>
      <c r="G871" s="13">
        <f t="shared" si="79"/>
        <v>0</v>
      </c>
      <c r="H871" s="12" t="s">
        <v>1986</v>
      </c>
      <c r="I871" s="1" t="s">
        <v>18</v>
      </c>
      <c r="J871" s="1" t="s">
        <v>19</v>
      </c>
      <c r="K871" s="1" t="s">
        <v>35</v>
      </c>
      <c r="L871" s="1" t="s">
        <v>327</v>
      </c>
      <c r="M871" s="10">
        <v>519.41999999999996</v>
      </c>
      <c r="N871" s="8">
        <v>3</v>
      </c>
      <c r="O871" s="6">
        <v>0.28999999999999998</v>
      </c>
      <c r="P871" s="10">
        <v>324.77</v>
      </c>
      <c r="Q871" s="11">
        <f t="shared" si="80"/>
        <v>194.64999999999998</v>
      </c>
      <c r="R871" t="str">
        <f t="shared" si="83"/>
        <v>profit</v>
      </c>
    </row>
    <row r="872" spans="1:18" ht="15.75" customHeight="1" x14ac:dyDescent="0.4">
      <c r="A872" s="1" t="s">
        <v>1740</v>
      </c>
      <c r="B872" s="2">
        <v>45571</v>
      </c>
      <c r="C872" s="2">
        <v>45574</v>
      </c>
      <c r="D872" s="2" t="str">
        <f t="shared" si="81"/>
        <v>2024</v>
      </c>
      <c r="E872" s="2" t="str">
        <f t="shared" si="78"/>
        <v>October</v>
      </c>
      <c r="F872" s="2" t="str">
        <f t="shared" si="82"/>
        <v>Q4</v>
      </c>
      <c r="G872" s="13">
        <f t="shared" si="79"/>
        <v>3</v>
      </c>
      <c r="H872" s="12" t="s">
        <v>23</v>
      </c>
      <c r="I872" s="1" t="s">
        <v>18</v>
      </c>
      <c r="J872" s="1" t="s">
        <v>14</v>
      </c>
      <c r="K872" s="1" t="s">
        <v>15</v>
      </c>
      <c r="L872" s="1" t="s">
        <v>1741</v>
      </c>
      <c r="M872" s="10">
        <v>312.43</v>
      </c>
      <c r="N872" s="8">
        <v>1</v>
      </c>
      <c r="O872" s="6">
        <v>0.3</v>
      </c>
      <c r="P872" s="10">
        <v>191.27</v>
      </c>
      <c r="Q872" s="11">
        <f t="shared" si="80"/>
        <v>121.16</v>
      </c>
      <c r="R872" t="str">
        <f t="shared" si="83"/>
        <v>profit</v>
      </c>
    </row>
    <row r="873" spans="1:18" ht="15.75" customHeight="1" x14ac:dyDescent="0.4">
      <c r="A873" s="1" t="s">
        <v>1742</v>
      </c>
      <c r="B873" s="2">
        <v>45406</v>
      </c>
      <c r="C873" s="2">
        <v>45411</v>
      </c>
      <c r="D873" s="2" t="str">
        <f t="shared" si="81"/>
        <v>2024</v>
      </c>
      <c r="E873" s="2" t="str">
        <f t="shared" si="78"/>
        <v>April</v>
      </c>
      <c r="F873" s="2" t="str">
        <f t="shared" si="82"/>
        <v>Q2</v>
      </c>
      <c r="G873" s="13">
        <f t="shared" si="79"/>
        <v>5</v>
      </c>
      <c r="H873" s="12" t="s">
        <v>1986</v>
      </c>
      <c r="I873" s="1" t="s">
        <v>59</v>
      </c>
      <c r="J873" s="1" t="s">
        <v>19</v>
      </c>
      <c r="K873" s="1" t="s">
        <v>92</v>
      </c>
      <c r="L873" s="1" t="s">
        <v>666</v>
      </c>
      <c r="M873" s="10">
        <v>540.32000000000005</v>
      </c>
      <c r="N873" s="8">
        <v>4</v>
      </c>
      <c r="O873" s="6">
        <v>0.28999999999999998</v>
      </c>
      <c r="P873" s="10">
        <v>347.42</v>
      </c>
      <c r="Q873" s="11">
        <f t="shared" si="80"/>
        <v>192.90000000000003</v>
      </c>
      <c r="R873" t="str">
        <f t="shared" si="83"/>
        <v>profit</v>
      </c>
    </row>
    <row r="874" spans="1:18" ht="15.75" customHeight="1" x14ac:dyDescent="0.4">
      <c r="A874" s="1" t="s">
        <v>1743</v>
      </c>
      <c r="B874" s="2">
        <v>45437</v>
      </c>
      <c r="C874" s="2">
        <v>45442</v>
      </c>
      <c r="D874" s="2" t="str">
        <f t="shared" si="81"/>
        <v>2024</v>
      </c>
      <c r="E874" s="2" t="str">
        <f t="shared" si="78"/>
        <v>May</v>
      </c>
      <c r="F874" s="2" t="str">
        <f t="shared" si="82"/>
        <v>Q2</v>
      </c>
      <c r="G874" s="13">
        <f t="shared" si="79"/>
        <v>5</v>
      </c>
      <c r="H874" s="12" t="s">
        <v>1987</v>
      </c>
      <c r="I874" s="1" t="s">
        <v>18</v>
      </c>
      <c r="J874" s="1" t="s">
        <v>19</v>
      </c>
      <c r="K874" s="1" t="s">
        <v>20</v>
      </c>
      <c r="L874" s="1" t="s">
        <v>1744</v>
      </c>
      <c r="M874" s="10">
        <v>407.43</v>
      </c>
      <c r="N874" s="8">
        <v>4</v>
      </c>
      <c r="O874" s="6">
        <v>0.05</v>
      </c>
      <c r="P874" s="10">
        <v>359.58</v>
      </c>
      <c r="Q874" s="11">
        <f t="shared" si="80"/>
        <v>47.850000000000023</v>
      </c>
      <c r="R874" t="str">
        <f t="shared" si="83"/>
        <v>profit</v>
      </c>
    </row>
    <row r="875" spans="1:18" ht="15.75" customHeight="1" x14ac:dyDescent="0.4">
      <c r="A875" s="1" t="s">
        <v>1745</v>
      </c>
      <c r="C875" s="2">
        <v>45188</v>
      </c>
      <c r="D875" s="2" t="str">
        <f t="shared" si="81"/>
        <v/>
      </c>
      <c r="E875" s="2" t="str">
        <f t="shared" si="78"/>
        <v>September</v>
      </c>
      <c r="F875" s="2" t="str">
        <f t="shared" si="82"/>
        <v>Q4</v>
      </c>
      <c r="G875" s="13">
        <f t="shared" si="79"/>
        <v>45188</v>
      </c>
      <c r="H875" s="12" t="s">
        <v>1988</v>
      </c>
      <c r="I875" s="1" t="s">
        <v>13</v>
      </c>
      <c r="J875" s="1" t="s">
        <v>14</v>
      </c>
      <c r="K875" s="1" t="s">
        <v>15</v>
      </c>
      <c r="L875" s="1" t="s">
        <v>1746</v>
      </c>
      <c r="M875" s="11" t="s">
        <v>1989</v>
      </c>
      <c r="N875" s="8">
        <v>3</v>
      </c>
      <c r="O875" s="6">
        <v>0.05</v>
      </c>
      <c r="P875" s="10">
        <v>585.57000000000005</v>
      </c>
      <c r="Q875" s="11" t="e">
        <f t="shared" si="80"/>
        <v>#VALUE!</v>
      </c>
      <c r="R875" t="str">
        <f t="shared" si="83"/>
        <v>profit</v>
      </c>
    </row>
    <row r="876" spans="1:18" ht="15.75" customHeight="1" x14ac:dyDescent="0.4">
      <c r="A876" s="1" t="s">
        <v>1747</v>
      </c>
      <c r="B876" s="2">
        <v>45098</v>
      </c>
      <c r="C876" s="2">
        <v>45106</v>
      </c>
      <c r="D876" s="2" t="str">
        <f t="shared" si="81"/>
        <v>2023</v>
      </c>
      <c r="E876" s="2" t="str">
        <f t="shared" si="78"/>
        <v>June</v>
      </c>
      <c r="F876" s="2" t="str">
        <f t="shared" si="82"/>
        <v>Q3</v>
      </c>
      <c r="G876" s="13">
        <f t="shared" si="79"/>
        <v>8</v>
      </c>
      <c r="H876" s="12" t="s">
        <v>1987</v>
      </c>
      <c r="I876" s="1" t="s">
        <v>59</v>
      </c>
      <c r="J876" s="1" t="s">
        <v>14</v>
      </c>
      <c r="K876" s="1" t="s">
        <v>54</v>
      </c>
      <c r="L876" s="1" t="s">
        <v>373</v>
      </c>
      <c r="M876" s="10">
        <v>180.85</v>
      </c>
      <c r="N876" s="8">
        <v>8</v>
      </c>
      <c r="O876" s="6">
        <v>0.25</v>
      </c>
      <c r="P876" s="10">
        <v>98.81</v>
      </c>
      <c r="Q876" s="11">
        <f t="shared" si="80"/>
        <v>82.039999999999992</v>
      </c>
      <c r="R876" t="str">
        <f t="shared" si="83"/>
        <v>profit</v>
      </c>
    </row>
    <row r="877" spans="1:18" ht="15.75" customHeight="1" x14ac:dyDescent="0.4">
      <c r="A877" s="1" t="s">
        <v>1748</v>
      </c>
      <c r="B877" s="2">
        <v>45539</v>
      </c>
      <c r="C877" s="2">
        <v>45541</v>
      </c>
      <c r="D877" s="2" t="str">
        <f t="shared" si="81"/>
        <v>2024</v>
      </c>
      <c r="E877" s="2" t="str">
        <f t="shared" si="78"/>
        <v>September</v>
      </c>
      <c r="F877" s="2" t="str">
        <f t="shared" si="82"/>
        <v>Q4</v>
      </c>
      <c r="G877" s="13">
        <f t="shared" si="79"/>
        <v>2</v>
      </c>
      <c r="H877" s="12" t="s">
        <v>42</v>
      </c>
      <c r="I877" s="1" t="s">
        <v>29</v>
      </c>
      <c r="J877" s="1" t="s">
        <v>14</v>
      </c>
      <c r="K877" s="1" t="s">
        <v>30</v>
      </c>
      <c r="L877" s="1" t="s">
        <v>1749</v>
      </c>
      <c r="M877" s="10">
        <v>511.54</v>
      </c>
      <c r="N877" s="8">
        <v>5</v>
      </c>
      <c r="O877" s="6">
        <v>0.49</v>
      </c>
      <c r="P877" s="10">
        <v>227.42</v>
      </c>
      <c r="Q877" s="11">
        <f t="shared" si="80"/>
        <v>284.12</v>
      </c>
      <c r="R877" t="str">
        <f t="shared" si="83"/>
        <v>profit</v>
      </c>
    </row>
    <row r="878" spans="1:18" ht="15.75" customHeight="1" x14ac:dyDescent="0.4">
      <c r="A878" s="1" t="s">
        <v>1750</v>
      </c>
      <c r="B878" s="2">
        <v>45476</v>
      </c>
      <c r="C878" s="2">
        <v>45477</v>
      </c>
      <c r="D878" s="2" t="str">
        <f t="shared" si="81"/>
        <v>2024</v>
      </c>
      <c r="E878" s="2" t="str">
        <f t="shared" si="78"/>
        <v>July</v>
      </c>
      <c r="F878" s="2" t="str">
        <f t="shared" si="82"/>
        <v>Q3</v>
      </c>
      <c r="G878" s="13">
        <f t="shared" si="79"/>
        <v>1</v>
      </c>
      <c r="H878" s="12" t="s">
        <v>1987</v>
      </c>
      <c r="I878" s="1" t="s">
        <v>13</v>
      </c>
      <c r="J878" s="1" t="s">
        <v>25</v>
      </c>
      <c r="K878" s="1" t="s">
        <v>26</v>
      </c>
      <c r="L878" s="1" t="s">
        <v>1751</v>
      </c>
      <c r="M878" s="10">
        <v>654.19000000000005</v>
      </c>
      <c r="N878" s="8">
        <v>2</v>
      </c>
      <c r="O878" s="6">
        <v>0.08</v>
      </c>
      <c r="P878" s="10">
        <v>572.30999999999995</v>
      </c>
      <c r="Q878" s="11">
        <f t="shared" si="80"/>
        <v>81.880000000000109</v>
      </c>
      <c r="R878" t="str">
        <f t="shared" si="83"/>
        <v>profit</v>
      </c>
    </row>
    <row r="879" spans="1:18" ht="15.75" customHeight="1" x14ac:dyDescent="0.4">
      <c r="A879" s="1" t="s">
        <v>1752</v>
      </c>
      <c r="B879" s="2">
        <v>45597</v>
      </c>
      <c r="C879" s="2">
        <v>45599</v>
      </c>
      <c r="D879" s="2" t="str">
        <f t="shared" si="81"/>
        <v>2024</v>
      </c>
      <c r="E879" s="2" t="str">
        <f t="shared" si="78"/>
        <v>November</v>
      </c>
      <c r="F879" s="2" t="str">
        <f t="shared" si="82"/>
        <v>Q4</v>
      </c>
      <c r="G879" s="13">
        <f t="shared" si="79"/>
        <v>2</v>
      </c>
      <c r="H879" s="12" t="s">
        <v>1987</v>
      </c>
      <c r="I879" s="1" t="s">
        <v>18</v>
      </c>
      <c r="J879" s="1" t="s">
        <v>19</v>
      </c>
      <c r="K879" s="1" t="s">
        <v>92</v>
      </c>
      <c r="L879" s="1" t="s">
        <v>1753</v>
      </c>
      <c r="M879" s="10">
        <v>425.57</v>
      </c>
      <c r="N879" s="8">
        <v>7</v>
      </c>
      <c r="O879" s="6">
        <v>0.26</v>
      </c>
      <c r="P879" s="10">
        <v>293.08999999999997</v>
      </c>
      <c r="Q879" s="11">
        <f t="shared" si="80"/>
        <v>132.48000000000002</v>
      </c>
      <c r="R879" t="str">
        <f t="shared" si="83"/>
        <v>profit</v>
      </c>
    </row>
    <row r="880" spans="1:18" ht="15.75" customHeight="1" x14ac:dyDescent="0.4">
      <c r="A880" s="1" t="s">
        <v>1754</v>
      </c>
      <c r="B880" s="2">
        <v>45130</v>
      </c>
      <c r="C880" s="2">
        <v>45130</v>
      </c>
      <c r="D880" s="2" t="str">
        <f t="shared" si="81"/>
        <v>2023</v>
      </c>
      <c r="E880" s="2" t="str">
        <f t="shared" si="78"/>
        <v>July</v>
      </c>
      <c r="F880" s="2" t="str">
        <f t="shared" si="82"/>
        <v>Q3</v>
      </c>
      <c r="G880" s="13">
        <f t="shared" si="79"/>
        <v>0</v>
      </c>
      <c r="H880" s="12" t="s">
        <v>42</v>
      </c>
      <c r="I880" s="1" t="s">
        <v>53</v>
      </c>
      <c r="J880" s="1" t="s">
        <v>19</v>
      </c>
      <c r="K880" s="1" t="s">
        <v>35</v>
      </c>
      <c r="L880" s="1" t="s">
        <v>1755</v>
      </c>
      <c r="M880" s="10">
        <v>865.39</v>
      </c>
      <c r="N880" s="8">
        <v>2</v>
      </c>
      <c r="O880" s="6">
        <v>0.22</v>
      </c>
      <c r="P880" s="10">
        <v>633.88</v>
      </c>
      <c r="Q880" s="11">
        <f t="shared" si="80"/>
        <v>231.51</v>
      </c>
      <c r="R880" t="str">
        <f t="shared" si="83"/>
        <v>profit</v>
      </c>
    </row>
    <row r="881" spans="1:18" ht="15.75" customHeight="1" x14ac:dyDescent="0.4">
      <c r="A881" s="1" t="s">
        <v>1756</v>
      </c>
      <c r="B881" s="2">
        <v>45216</v>
      </c>
      <c r="C881" s="2">
        <v>45218</v>
      </c>
      <c r="D881" s="2" t="str">
        <f t="shared" si="81"/>
        <v>2023</v>
      </c>
      <c r="E881" s="2" t="str">
        <f t="shared" si="78"/>
        <v>October</v>
      </c>
      <c r="F881" s="2" t="str">
        <f t="shared" si="82"/>
        <v>Q4</v>
      </c>
      <c r="G881" s="13">
        <f t="shared" si="79"/>
        <v>2</v>
      </c>
      <c r="H881" s="12" t="s">
        <v>23</v>
      </c>
      <c r="I881" s="1" t="s">
        <v>53</v>
      </c>
      <c r="J881" s="1" t="s">
        <v>14</v>
      </c>
      <c r="K881" s="1" t="s">
        <v>54</v>
      </c>
      <c r="L881" s="1" t="s">
        <v>1757</v>
      </c>
      <c r="M881" s="10">
        <v>651.94000000000005</v>
      </c>
      <c r="N881" s="8">
        <v>7</v>
      </c>
      <c r="O881" s="6">
        <v>0.4</v>
      </c>
      <c r="P881" s="10">
        <v>346.93</v>
      </c>
      <c r="Q881" s="11">
        <f t="shared" si="80"/>
        <v>305.01000000000005</v>
      </c>
      <c r="R881" t="str">
        <f t="shared" si="83"/>
        <v>profit</v>
      </c>
    </row>
    <row r="882" spans="1:18" ht="15.75" customHeight="1" x14ac:dyDescent="0.4">
      <c r="A882" s="1" t="s">
        <v>1758</v>
      </c>
      <c r="B882" s="2">
        <v>45394</v>
      </c>
      <c r="C882" s="2">
        <v>45403</v>
      </c>
      <c r="D882" s="2" t="str">
        <f t="shared" si="81"/>
        <v>2024</v>
      </c>
      <c r="E882" s="2" t="str">
        <f t="shared" si="78"/>
        <v>April</v>
      </c>
      <c r="F882" s="2" t="str">
        <f t="shared" si="82"/>
        <v>Q2</v>
      </c>
      <c r="G882" s="13">
        <f t="shared" si="79"/>
        <v>9</v>
      </c>
      <c r="H882" s="12" t="s">
        <v>42</v>
      </c>
      <c r="I882" s="1" t="s">
        <v>46</v>
      </c>
      <c r="J882" s="1" t="s">
        <v>14</v>
      </c>
      <c r="K882" s="1" t="s">
        <v>15</v>
      </c>
      <c r="L882" s="1" t="s">
        <v>1759</v>
      </c>
      <c r="M882" s="10">
        <v>271.02</v>
      </c>
      <c r="N882" s="8">
        <v>3</v>
      </c>
      <c r="O882" s="6">
        <v>0.32</v>
      </c>
      <c r="P882" s="10">
        <v>152.57</v>
      </c>
      <c r="Q882" s="11">
        <f t="shared" si="80"/>
        <v>118.44999999999999</v>
      </c>
      <c r="R882" t="str">
        <f t="shared" si="83"/>
        <v>profit</v>
      </c>
    </row>
    <row r="883" spans="1:18" ht="15.75" customHeight="1" x14ac:dyDescent="0.4">
      <c r="A883" s="1" t="s">
        <v>1760</v>
      </c>
      <c r="B883" s="2">
        <v>44917</v>
      </c>
      <c r="C883" s="2">
        <v>44921</v>
      </c>
      <c r="D883" s="2" t="str">
        <f t="shared" si="81"/>
        <v>2022</v>
      </c>
      <c r="E883" s="2" t="str">
        <f t="shared" si="78"/>
        <v>December</v>
      </c>
      <c r="F883" s="2" t="str">
        <f t="shared" si="82"/>
        <v>Q4</v>
      </c>
      <c r="G883" s="13">
        <f t="shared" si="79"/>
        <v>4</v>
      </c>
      <c r="H883" s="12" t="s">
        <v>42</v>
      </c>
      <c r="I883" s="1" t="s">
        <v>50</v>
      </c>
      <c r="J883" s="1" t="s">
        <v>19</v>
      </c>
      <c r="K883" s="1" t="s">
        <v>92</v>
      </c>
      <c r="L883" s="1" t="s">
        <v>1761</v>
      </c>
      <c r="M883" s="10">
        <v>467.27</v>
      </c>
      <c r="N883" s="8">
        <v>8</v>
      </c>
      <c r="O883" s="6">
        <v>0.19</v>
      </c>
      <c r="P883" s="10">
        <v>347.75</v>
      </c>
      <c r="Q883" s="11">
        <f t="shared" si="80"/>
        <v>119.51999999999998</v>
      </c>
      <c r="R883" t="str">
        <f t="shared" si="83"/>
        <v>profit</v>
      </c>
    </row>
    <row r="884" spans="1:18" ht="15.75" customHeight="1" x14ac:dyDescent="0.4">
      <c r="A884" s="1" t="s">
        <v>1762</v>
      </c>
      <c r="B884" s="2">
        <v>44981</v>
      </c>
      <c r="C884" s="2">
        <v>44988</v>
      </c>
      <c r="D884" s="2" t="str">
        <f t="shared" si="81"/>
        <v>2023</v>
      </c>
      <c r="E884" s="2" t="str">
        <f t="shared" si="78"/>
        <v>March</v>
      </c>
      <c r="F884" s="2" t="str">
        <f t="shared" si="82"/>
        <v>Q2</v>
      </c>
      <c r="G884" s="13">
        <f t="shared" si="79"/>
        <v>7</v>
      </c>
      <c r="H884" s="12" t="s">
        <v>1987</v>
      </c>
      <c r="I884" s="1" t="s">
        <v>46</v>
      </c>
      <c r="J884" s="1" t="s">
        <v>14</v>
      </c>
      <c r="K884" s="1" t="s">
        <v>15</v>
      </c>
      <c r="L884" s="1" t="s">
        <v>1763</v>
      </c>
      <c r="M884" s="10">
        <v>273.88</v>
      </c>
      <c r="N884" s="8">
        <v>7</v>
      </c>
      <c r="O884" s="6">
        <v>7.0000000000000007E-2</v>
      </c>
      <c r="P884" s="10">
        <v>209.66</v>
      </c>
      <c r="Q884" s="11">
        <f t="shared" si="80"/>
        <v>64.22</v>
      </c>
      <c r="R884" t="str">
        <f t="shared" si="83"/>
        <v>profit</v>
      </c>
    </row>
    <row r="885" spans="1:18" ht="15.75" customHeight="1" x14ac:dyDescent="0.4">
      <c r="A885" s="1" t="s">
        <v>1764</v>
      </c>
      <c r="B885" s="2">
        <v>45078</v>
      </c>
      <c r="C885" s="2">
        <v>45078</v>
      </c>
      <c r="D885" s="2" t="str">
        <f t="shared" si="81"/>
        <v>2023</v>
      </c>
      <c r="E885" s="2" t="str">
        <f t="shared" si="78"/>
        <v>June</v>
      </c>
      <c r="F885" s="2" t="str">
        <f t="shared" si="82"/>
        <v>Q3</v>
      </c>
      <c r="G885" s="13">
        <f t="shared" si="79"/>
        <v>0</v>
      </c>
      <c r="H885" s="12" t="s">
        <v>42</v>
      </c>
      <c r="I885" s="1" t="s">
        <v>29</v>
      </c>
      <c r="J885" s="1" t="s">
        <v>25</v>
      </c>
      <c r="K885" s="1" t="s">
        <v>47</v>
      </c>
      <c r="L885" s="1" t="s">
        <v>1765</v>
      </c>
      <c r="M885" s="10">
        <v>745.48</v>
      </c>
      <c r="N885" s="8">
        <v>10</v>
      </c>
      <c r="O885" s="6">
        <v>0.21</v>
      </c>
      <c r="P885" s="10">
        <v>543.28</v>
      </c>
      <c r="Q885" s="11">
        <f t="shared" si="80"/>
        <v>202.20000000000005</v>
      </c>
      <c r="R885" t="str">
        <f t="shared" si="83"/>
        <v>profit</v>
      </c>
    </row>
    <row r="886" spans="1:18" ht="15.75" customHeight="1" x14ac:dyDescent="0.4">
      <c r="A886" s="1" t="s">
        <v>1766</v>
      </c>
      <c r="B886" s="2">
        <v>45557</v>
      </c>
      <c r="C886" s="2">
        <v>45562</v>
      </c>
      <c r="D886" s="2" t="str">
        <f t="shared" si="81"/>
        <v>2024</v>
      </c>
      <c r="E886" s="2" t="str">
        <f t="shared" si="78"/>
        <v>September</v>
      </c>
      <c r="F886" s="2" t="str">
        <f t="shared" si="82"/>
        <v>Q4</v>
      </c>
      <c r="G886" s="13">
        <f t="shared" si="79"/>
        <v>5</v>
      </c>
      <c r="H886" s="12" t="s">
        <v>1987</v>
      </c>
      <c r="I886" s="1" t="s">
        <v>29</v>
      </c>
      <c r="J886" s="1" t="s">
        <v>14</v>
      </c>
      <c r="K886" s="1" t="s">
        <v>54</v>
      </c>
      <c r="L886" s="1" t="s">
        <v>1767</v>
      </c>
      <c r="M886" s="10">
        <v>899.25</v>
      </c>
      <c r="N886" s="8">
        <v>5</v>
      </c>
      <c r="O886" s="6">
        <v>0.18</v>
      </c>
      <c r="P886" s="10">
        <v>714.16</v>
      </c>
      <c r="Q886" s="11">
        <f t="shared" si="80"/>
        <v>185.09000000000003</v>
      </c>
      <c r="R886" t="str">
        <f t="shared" si="83"/>
        <v>profit</v>
      </c>
    </row>
    <row r="887" spans="1:18" ht="15.75" customHeight="1" x14ac:dyDescent="0.4">
      <c r="A887" s="1" t="s">
        <v>1768</v>
      </c>
      <c r="B887" s="2">
        <v>45509</v>
      </c>
      <c r="C887" s="2">
        <v>45511</v>
      </c>
      <c r="D887" s="2" t="str">
        <f t="shared" si="81"/>
        <v>2024</v>
      </c>
      <c r="E887" s="2" t="str">
        <f t="shared" si="78"/>
        <v>August</v>
      </c>
      <c r="F887" s="2" t="str">
        <f t="shared" si="82"/>
        <v>Q3</v>
      </c>
      <c r="G887" s="13">
        <f t="shared" si="79"/>
        <v>2</v>
      </c>
      <c r="H887" s="12" t="s">
        <v>23</v>
      </c>
      <c r="I887" s="1" t="s">
        <v>18</v>
      </c>
      <c r="J887" s="1" t="s">
        <v>25</v>
      </c>
      <c r="K887" s="1" t="s">
        <v>43</v>
      </c>
      <c r="L887" s="1" t="s">
        <v>1769</v>
      </c>
      <c r="M887" s="10">
        <v>493.38</v>
      </c>
      <c r="N887" s="8">
        <v>5</v>
      </c>
      <c r="O887" s="6">
        <v>-0.3</v>
      </c>
      <c r="P887" s="10">
        <v>402.18</v>
      </c>
      <c r="Q887" s="11">
        <f t="shared" si="80"/>
        <v>91.199999999999989</v>
      </c>
      <c r="R887" t="str">
        <f t="shared" si="83"/>
        <v>profit</v>
      </c>
    </row>
    <row r="888" spans="1:18" ht="15.75" customHeight="1" x14ac:dyDescent="0.4">
      <c r="A888" s="1" t="s">
        <v>1770</v>
      </c>
      <c r="B888" s="2">
        <v>45527</v>
      </c>
      <c r="C888" s="2">
        <v>45534</v>
      </c>
      <c r="D888" s="2" t="str">
        <f t="shared" si="81"/>
        <v>2024</v>
      </c>
      <c r="E888" s="2" t="str">
        <f t="shared" si="78"/>
        <v>August</v>
      </c>
      <c r="F888" s="2" t="str">
        <f t="shared" si="82"/>
        <v>Q3</v>
      </c>
      <c r="G888" s="13">
        <f t="shared" si="79"/>
        <v>7</v>
      </c>
      <c r="H888" s="12" t="s">
        <v>1987</v>
      </c>
      <c r="I888" s="1" t="s">
        <v>29</v>
      </c>
      <c r="J888" s="1" t="s">
        <v>25</v>
      </c>
      <c r="K888" s="1" t="s">
        <v>43</v>
      </c>
      <c r="L888" s="1" t="s">
        <v>1771</v>
      </c>
      <c r="M888" s="10">
        <v>723.03</v>
      </c>
      <c r="N888" s="8">
        <v>1</v>
      </c>
      <c r="O888" s="6">
        <v>0.48</v>
      </c>
      <c r="P888" s="10">
        <v>330.46</v>
      </c>
      <c r="Q888" s="11">
        <f t="shared" si="80"/>
        <v>392.57</v>
      </c>
      <c r="R888" t="str">
        <f t="shared" si="83"/>
        <v>profit</v>
      </c>
    </row>
    <row r="889" spans="1:18" ht="15.75" customHeight="1" x14ac:dyDescent="0.4">
      <c r="A889" s="1" t="s">
        <v>1772</v>
      </c>
      <c r="B889" s="2">
        <v>44942</v>
      </c>
      <c r="C889" s="2">
        <v>44947</v>
      </c>
      <c r="D889" s="2" t="str">
        <f t="shared" si="81"/>
        <v>2023</v>
      </c>
      <c r="E889" s="2" t="str">
        <f t="shared" si="78"/>
        <v>January</v>
      </c>
      <c r="F889" s="2" t="str">
        <f t="shared" si="82"/>
        <v>Q1</v>
      </c>
      <c r="G889" s="13">
        <f t="shared" si="79"/>
        <v>5</v>
      </c>
      <c r="H889" s="12" t="s">
        <v>1987</v>
      </c>
      <c r="I889" s="1" t="s">
        <v>29</v>
      </c>
      <c r="J889" s="1" t="s">
        <v>25</v>
      </c>
      <c r="K889" s="1" t="s">
        <v>43</v>
      </c>
      <c r="L889" s="1" t="s">
        <v>1773</v>
      </c>
      <c r="M889" s="10">
        <v>461.57</v>
      </c>
      <c r="N889" s="8">
        <v>1</v>
      </c>
      <c r="O889" s="6">
        <v>0.18</v>
      </c>
      <c r="P889" s="10">
        <v>356.68</v>
      </c>
      <c r="Q889" s="11">
        <f t="shared" si="80"/>
        <v>104.88999999999999</v>
      </c>
      <c r="R889" t="str">
        <f t="shared" si="83"/>
        <v>profit</v>
      </c>
    </row>
    <row r="890" spans="1:18" ht="15.75" customHeight="1" x14ac:dyDescent="0.4">
      <c r="A890" s="1" t="s">
        <v>1774</v>
      </c>
      <c r="B890" s="2">
        <v>45017</v>
      </c>
      <c r="C890" s="2">
        <v>45017</v>
      </c>
      <c r="D890" s="2" t="str">
        <f t="shared" si="81"/>
        <v>2023</v>
      </c>
      <c r="E890" s="2" t="str">
        <f t="shared" si="78"/>
        <v>April</v>
      </c>
      <c r="F890" s="2" t="str">
        <f t="shared" si="82"/>
        <v>Q2</v>
      </c>
      <c r="G890" s="13">
        <f t="shared" si="79"/>
        <v>0</v>
      </c>
      <c r="H890" s="12" t="s">
        <v>23</v>
      </c>
      <c r="I890" s="1" t="s">
        <v>53</v>
      </c>
      <c r="J890" s="1" t="s">
        <v>25</v>
      </c>
      <c r="K890" s="1" t="s">
        <v>26</v>
      </c>
      <c r="L890" s="1" t="s">
        <v>1715</v>
      </c>
      <c r="M890" s="10">
        <v>755.03</v>
      </c>
      <c r="N890" s="8">
        <v>7</v>
      </c>
      <c r="O890" s="6">
        <v>0.04</v>
      </c>
      <c r="P890" s="10">
        <v>683.71</v>
      </c>
      <c r="Q890" s="11">
        <f t="shared" si="80"/>
        <v>71.319999999999936</v>
      </c>
      <c r="R890" t="str">
        <f t="shared" si="83"/>
        <v>profit</v>
      </c>
    </row>
    <row r="891" spans="1:18" ht="15.75" customHeight="1" x14ac:dyDescent="0.4">
      <c r="A891" s="1" t="s">
        <v>1775</v>
      </c>
      <c r="C891" s="2">
        <v>45442</v>
      </c>
      <c r="D891" s="2" t="str">
        <f t="shared" si="81"/>
        <v/>
      </c>
      <c r="E891" s="2" t="str">
        <f t="shared" si="78"/>
        <v>May</v>
      </c>
      <c r="F891" s="2" t="str">
        <f t="shared" si="82"/>
        <v>Q2</v>
      </c>
      <c r="G891" s="13">
        <f t="shared" si="79"/>
        <v>45442</v>
      </c>
      <c r="H891" s="12" t="s">
        <v>1988</v>
      </c>
      <c r="I891" s="1" t="s">
        <v>18</v>
      </c>
      <c r="J891" s="1" t="s">
        <v>19</v>
      </c>
      <c r="K891" s="1" t="s">
        <v>20</v>
      </c>
      <c r="L891" s="1" t="s">
        <v>1776</v>
      </c>
      <c r="M891" s="11" t="s">
        <v>1989</v>
      </c>
      <c r="N891" s="8">
        <v>1</v>
      </c>
      <c r="O891" s="6">
        <v>0.27</v>
      </c>
      <c r="P891" s="10">
        <v>392.96</v>
      </c>
      <c r="Q891" s="11" t="e">
        <f t="shared" si="80"/>
        <v>#VALUE!</v>
      </c>
      <c r="R891" t="str">
        <f t="shared" si="83"/>
        <v>profit</v>
      </c>
    </row>
    <row r="892" spans="1:18" ht="15.75" customHeight="1" x14ac:dyDescent="0.4">
      <c r="A892" s="3" t="s">
        <v>1777</v>
      </c>
      <c r="B892" s="2">
        <v>45214</v>
      </c>
      <c r="C892" s="2">
        <v>45214</v>
      </c>
      <c r="D892" s="2" t="str">
        <f t="shared" si="81"/>
        <v>2023</v>
      </c>
      <c r="E892" s="2" t="str">
        <f t="shared" si="78"/>
        <v>October</v>
      </c>
      <c r="F892" s="2" t="str">
        <f t="shared" si="82"/>
        <v>Q4</v>
      </c>
      <c r="G892" s="13">
        <f t="shared" si="79"/>
        <v>0</v>
      </c>
      <c r="H892" s="12" t="s">
        <v>1986</v>
      </c>
      <c r="I892" s="1" t="s">
        <v>59</v>
      </c>
      <c r="J892" s="1" t="s">
        <v>14</v>
      </c>
      <c r="K892" s="1" t="s">
        <v>54</v>
      </c>
      <c r="L892" s="1" t="s">
        <v>1778</v>
      </c>
      <c r="M892" s="10">
        <v>731.47</v>
      </c>
      <c r="N892" s="8">
        <v>6</v>
      </c>
      <c r="O892" s="6">
        <v>0.44</v>
      </c>
      <c r="P892" s="10">
        <v>368.49</v>
      </c>
      <c r="Q892" s="11">
        <f t="shared" si="80"/>
        <v>362.98</v>
      </c>
      <c r="R892" t="str">
        <f t="shared" si="83"/>
        <v>profit</v>
      </c>
    </row>
    <row r="893" spans="1:18" ht="15.75" customHeight="1" x14ac:dyDescent="0.4">
      <c r="A893" s="1" t="s">
        <v>1779</v>
      </c>
      <c r="C893" s="2">
        <v>45609</v>
      </c>
      <c r="D893" s="2" t="str">
        <f t="shared" si="81"/>
        <v/>
      </c>
      <c r="E893" s="2" t="str">
        <f t="shared" si="78"/>
        <v>November</v>
      </c>
      <c r="F893" s="2" t="str">
        <f t="shared" si="82"/>
        <v>Q4</v>
      </c>
      <c r="G893" s="13">
        <f t="shared" si="79"/>
        <v>45609</v>
      </c>
      <c r="H893" s="12" t="s">
        <v>1988</v>
      </c>
      <c r="I893" s="1" t="s">
        <v>24</v>
      </c>
      <c r="J893" s="1" t="s">
        <v>25</v>
      </c>
      <c r="K893" s="1" t="s">
        <v>26</v>
      </c>
      <c r="L893" s="1" t="s">
        <v>1780</v>
      </c>
      <c r="M893" s="11" t="s">
        <v>1989</v>
      </c>
      <c r="N893" s="8">
        <v>1</v>
      </c>
      <c r="O893" s="6">
        <v>0.28999999999999998</v>
      </c>
      <c r="P893" s="10">
        <v>183.2</v>
      </c>
      <c r="Q893" s="11" t="e">
        <f t="shared" si="80"/>
        <v>#VALUE!</v>
      </c>
      <c r="R893" t="str">
        <f t="shared" si="83"/>
        <v>profit</v>
      </c>
    </row>
    <row r="894" spans="1:18" ht="15.75" customHeight="1" x14ac:dyDescent="0.4">
      <c r="A894" s="1" t="s">
        <v>1781</v>
      </c>
      <c r="C894" s="2">
        <v>45505</v>
      </c>
      <c r="D894" s="2" t="str">
        <f t="shared" si="81"/>
        <v/>
      </c>
      <c r="E894" s="2" t="str">
        <f t="shared" si="78"/>
        <v>August</v>
      </c>
      <c r="F894" s="2" t="str">
        <f t="shared" si="82"/>
        <v>Q3</v>
      </c>
      <c r="G894" s="13">
        <f t="shared" si="79"/>
        <v>45505</v>
      </c>
      <c r="H894" s="12" t="s">
        <v>1988</v>
      </c>
      <c r="I894" s="1" t="s">
        <v>53</v>
      </c>
      <c r="J894" s="1" t="s">
        <v>25</v>
      </c>
      <c r="K894" s="1" t="s">
        <v>26</v>
      </c>
      <c r="L894" s="1" t="s">
        <v>1782</v>
      </c>
      <c r="M894" s="11" t="s">
        <v>1989</v>
      </c>
      <c r="N894" s="8">
        <v>7</v>
      </c>
      <c r="O894" s="6">
        <v>0.38</v>
      </c>
      <c r="P894" s="10">
        <v>378.17</v>
      </c>
      <c r="Q894" s="11" t="e">
        <f t="shared" si="80"/>
        <v>#VALUE!</v>
      </c>
      <c r="R894" t="str">
        <f t="shared" si="83"/>
        <v>profit</v>
      </c>
    </row>
    <row r="895" spans="1:18" ht="15.75" customHeight="1" x14ac:dyDescent="0.4">
      <c r="A895" s="1" t="s">
        <v>1783</v>
      </c>
      <c r="B895" s="2">
        <v>45073</v>
      </c>
      <c r="C895" s="2">
        <v>45080</v>
      </c>
      <c r="D895" s="2" t="str">
        <f t="shared" si="81"/>
        <v>2023</v>
      </c>
      <c r="E895" s="2" t="str">
        <f t="shared" si="78"/>
        <v>June</v>
      </c>
      <c r="F895" s="2" t="str">
        <f t="shared" si="82"/>
        <v>Q3</v>
      </c>
      <c r="G895" s="13">
        <f t="shared" si="79"/>
        <v>7</v>
      </c>
      <c r="H895" s="12" t="s">
        <v>23</v>
      </c>
      <c r="I895" s="1" t="s">
        <v>13</v>
      </c>
      <c r="J895" s="1" t="s">
        <v>19</v>
      </c>
      <c r="K895" s="1" t="s">
        <v>20</v>
      </c>
      <c r="L895" s="1" t="s">
        <v>1784</v>
      </c>
      <c r="M895" s="10">
        <v>69.13</v>
      </c>
      <c r="N895" s="8">
        <v>9</v>
      </c>
      <c r="O895" s="6">
        <v>0.49</v>
      </c>
      <c r="P895" s="10">
        <v>7.69</v>
      </c>
      <c r="Q895" s="11">
        <f t="shared" si="80"/>
        <v>61.44</v>
      </c>
      <c r="R895" t="str">
        <f t="shared" si="83"/>
        <v>profit</v>
      </c>
    </row>
    <row r="896" spans="1:18" ht="15.75" customHeight="1" x14ac:dyDescent="0.4">
      <c r="A896" s="1" t="s">
        <v>1785</v>
      </c>
      <c r="B896" s="2">
        <v>45613</v>
      </c>
      <c r="C896" s="2">
        <v>45618</v>
      </c>
      <c r="D896" s="2" t="str">
        <f t="shared" si="81"/>
        <v>2024</v>
      </c>
      <c r="E896" s="2" t="str">
        <f t="shared" si="78"/>
        <v>November</v>
      </c>
      <c r="F896" s="2" t="str">
        <f t="shared" si="82"/>
        <v>Q4</v>
      </c>
      <c r="G896" s="13">
        <f t="shared" si="79"/>
        <v>5</v>
      </c>
      <c r="H896" s="12" t="s">
        <v>1987</v>
      </c>
      <c r="I896" s="1" t="s">
        <v>18</v>
      </c>
      <c r="J896" s="1" t="s">
        <v>14</v>
      </c>
      <c r="K896" s="1" t="s">
        <v>15</v>
      </c>
      <c r="L896" s="1" t="s">
        <v>1786</v>
      </c>
      <c r="M896" s="10">
        <v>430.11</v>
      </c>
      <c r="N896" s="8">
        <v>5</v>
      </c>
      <c r="O896" s="6">
        <v>0.11</v>
      </c>
      <c r="P896" s="10">
        <v>364.79</v>
      </c>
      <c r="Q896" s="11">
        <f t="shared" si="80"/>
        <v>65.319999999999993</v>
      </c>
      <c r="R896" t="str">
        <f t="shared" si="83"/>
        <v>profit</v>
      </c>
    </row>
    <row r="897" spans="1:18" ht="15.75" customHeight="1" x14ac:dyDescent="0.4">
      <c r="A897" s="1" t="s">
        <v>1787</v>
      </c>
      <c r="B897" s="2">
        <v>45452</v>
      </c>
      <c r="C897" s="2">
        <v>45456</v>
      </c>
      <c r="D897" s="2" t="str">
        <f t="shared" si="81"/>
        <v>2024</v>
      </c>
      <c r="E897" s="2" t="str">
        <f t="shared" si="78"/>
        <v>June</v>
      </c>
      <c r="F897" s="2" t="str">
        <f t="shared" si="82"/>
        <v>Q3</v>
      </c>
      <c r="G897" s="13">
        <f t="shared" si="79"/>
        <v>4</v>
      </c>
      <c r="H897" s="12" t="s">
        <v>23</v>
      </c>
      <c r="I897" s="1" t="s">
        <v>29</v>
      </c>
      <c r="J897" s="1" t="s">
        <v>25</v>
      </c>
      <c r="K897" s="1" t="s">
        <v>47</v>
      </c>
      <c r="L897" s="1" t="s">
        <v>1788</v>
      </c>
      <c r="M897" s="10">
        <v>709.32</v>
      </c>
      <c r="N897" s="8">
        <v>1</v>
      </c>
      <c r="O897" s="6">
        <v>0.42</v>
      </c>
      <c r="P897" s="10">
        <v>392.77</v>
      </c>
      <c r="Q897" s="11">
        <f t="shared" si="80"/>
        <v>316.55000000000007</v>
      </c>
      <c r="R897" t="str">
        <f t="shared" si="83"/>
        <v>profit</v>
      </c>
    </row>
    <row r="898" spans="1:18" ht="15.75" customHeight="1" x14ac:dyDescent="0.4">
      <c r="A898" s="1" t="s">
        <v>1789</v>
      </c>
      <c r="B898" s="2">
        <v>45009</v>
      </c>
      <c r="C898" s="2">
        <v>45012</v>
      </c>
      <c r="D898" s="2" t="str">
        <f t="shared" si="81"/>
        <v>2023</v>
      </c>
      <c r="E898" s="2" t="str">
        <f t="shared" ref="E898:E961" si="84">TEXT(C898, "MMMM")</f>
        <v>March</v>
      </c>
      <c r="F898" s="2" t="str">
        <f t="shared" si="82"/>
        <v>Q2</v>
      </c>
      <c r="G898" s="13">
        <f t="shared" ref="G898:G961" si="85">DATEDIF(B898,C898, "D")</f>
        <v>3</v>
      </c>
      <c r="H898" s="12" t="s">
        <v>42</v>
      </c>
      <c r="I898" s="1" t="s">
        <v>59</v>
      </c>
      <c r="J898" s="1" t="s">
        <v>25</v>
      </c>
      <c r="K898" s="1" t="s">
        <v>47</v>
      </c>
      <c r="L898" s="1" t="s">
        <v>1790</v>
      </c>
      <c r="M898" s="10">
        <v>385.22</v>
      </c>
      <c r="N898" s="8">
        <v>9</v>
      </c>
      <c r="O898" s="6">
        <v>0.19</v>
      </c>
      <c r="P898" s="10">
        <v>286.56</v>
      </c>
      <c r="Q898" s="11">
        <f t="shared" ref="Q898:Q961" si="86">M898 - P898</f>
        <v>98.660000000000025</v>
      </c>
      <c r="R898" t="str">
        <f t="shared" si="83"/>
        <v>profit</v>
      </c>
    </row>
    <row r="899" spans="1:18" ht="15.75" customHeight="1" x14ac:dyDescent="0.4">
      <c r="A899" s="1" t="s">
        <v>1791</v>
      </c>
      <c r="B899" s="2">
        <v>45569</v>
      </c>
      <c r="C899" s="2">
        <v>45571</v>
      </c>
      <c r="D899" s="2" t="str">
        <f t="shared" ref="D899:D962" si="87">IF(B899="","",TEXT(B899,"YYYY"))</f>
        <v>2024</v>
      </c>
      <c r="E899" s="2" t="str">
        <f t="shared" si="84"/>
        <v>October</v>
      </c>
      <c r="F899" s="2" t="str">
        <f t="shared" ref="F899:F962" si="88">IF(MONTH(C899)&lt;3,"Q1",IF(MONTH(C899)&lt;6,"Q2",IF(MONTH(C899)&lt;9,"Q3","Q4")))</f>
        <v>Q4</v>
      </c>
      <c r="G899" s="13">
        <f t="shared" si="85"/>
        <v>2</v>
      </c>
      <c r="H899" s="12" t="s">
        <v>1986</v>
      </c>
      <c r="I899" s="1" t="s">
        <v>50</v>
      </c>
      <c r="J899" s="1" t="s">
        <v>14</v>
      </c>
      <c r="K899" s="1" t="s">
        <v>15</v>
      </c>
      <c r="L899" s="1" t="s">
        <v>1792</v>
      </c>
      <c r="M899" s="10">
        <v>907.97</v>
      </c>
      <c r="N899" s="8">
        <v>10</v>
      </c>
      <c r="O899" s="6">
        <v>0</v>
      </c>
      <c r="P899" s="10">
        <v>869.11</v>
      </c>
      <c r="Q899" s="11">
        <f t="shared" si="86"/>
        <v>38.860000000000014</v>
      </c>
      <c r="R899" t="str">
        <f t="shared" si="83"/>
        <v>profit</v>
      </c>
    </row>
    <row r="900" spans="1:18" ht="15.75" customHeight="1" x14ac:dyDescent="0.4">
      <c r="A900" s="1" t="s">
        <v>1793</v>
      </c>
      <c r="B900" s="2">
        <v>45482</v>
      </c>
      <c r="C900" s="2">
        <v>45487</v>
      </c>
      <c r="D900" s="2" t="str">
        <f t="shared" si="87"/>
        <v>2024</v>
      </c>
      <c r="E900" s="2" t="str">
        <f t="shared" si="84"/>
        <v>July</v>
      </c>
      <c r="F900" s="2" t="str">
        <f t="shared" si="88"/>
        <v>Q3</v>
      </c>
      <c r="G900" s="13">
        <f t="shared" si="85"/>
        <v>5</v>
      </c>
      <c r="H900" s="12" t="s">
        <v>1987</v>
      </c>
      <c r="I900" s="1" t="s">
        <v>59</v>
      </c>
      <c r="J900" s="1" t="s">
        <v>25</v>
      </c>
      <c r="K900" s="1" t="s">
        <v>47</v>
      </c>
      <c r="L900" s="1" t="s">
        <v>518</v>
      </c>
      <c r="M900" s="10">
        <v>208.47</v>
      </c>
      <c r="N900" s="8">
        <v>4</v>
      </c>
      <c r="O900" s="6">
        <v>0.49</v>
      </c>
      <c r="P900" s="10">
        <v>85.48</v>
      </c>
      <c r="Q900" s="11">
        <f t="shared" si="86"/>
        <v>122.99</v>
      </c>
      <c r="R900" t="str">
        <f t="shared" ref="R900:R963" si="89">IF(P900&gt;0,"profit","loss")</f>
        <v>profit</v>
      </c>
    </row>
    <row r="901" spans="1:18" ht="15.75" customHeight="1" x14ac:dyDescent="0.4">
      <c r="A901" s="1" t="s">
        <v>1794</v>
      </c>
      <c r="B901" s="2">
        <v>45038</v>
      </c>
      <c r="C901" s="2">
        <v>45044</v>
      </c>
      <c r="D901" s="2" t="str">
        <f t="shared" si="87"/>
        <v>2023</v>
      </c>
      <c r="E901" s="2" t="str">
        <f t="shared" si="84"/>
        <v>April</v>
      </c>
      <c r="F901" s="2" t="str">
        <f t="shared" si="88"/>
        <v>Q2</v>
      </c>
      <c r="G901" s="13">
        <f t="shared" si="85"/>
        <v>6</v>
      </c>
      <c r="H901" s="12" t="s">
        <v>1987</v>
      </c>
      <c r="I901" s="1" t="s">
        <v>53</v>
      </c>
      <c r="J901" s="1" t="s">
        <v>25</v>
      </c>
      <c r="K901" s="1" t="s">
        <v>47</v>
      </c>
      <c r="L901" s="1" t="s">
        <v>1795</v>
      </c>
      <c r="M901" s="10">
        <v>292.17</v>
      </c>
      <c r="N901" s="8">
        <v>9</v>
      </c>
      <c r="O901" s="6">
        <v>0.13</v>
      </c>
      <c r="P901" s="10">
        <v>233.22</v>
      </c>
      <c r="Q901" s="11">
        <f t="shared" si="86"/>
        <v>58.950000000000017</v>
      </c>
      <c r="R901" t="str">
        <f t="shared" si="89"/>
        <v>profit</v>
      </c>
    </row>
    <row r="902" spans="1:18" ht="15.75" customHeight="1" x14ac:dyDescent="0.4">
      <c r="A902" s="1" t="s">
        <v>1796</v>
      </c>
      <c r="B902" s="2">
        <v>45251</v>
      </c>
      <c r="C902" s="2">
        <v>45253</v>
      </c>
      <c r="D902" s="2" t="str">
        <f t="shared" si="87"/>
        <v>2023</v>
      </c>
      <c r="E902" s="2" t="str">
        <f t="shared" si="84"/>
        <v>November</v>
      </c>
      <c r="F902" s="2" t="str">
        <f t="shared" si="88"/>
        <v>Q4</v>
      </c>
      <c r="G902" s="13">
        <f t="shared" si="85"/>
        <v>2</v>
      </c>
      <c r="H902" s="12" t="s">
        <v>1986</v>
      </c>
      <c r="I902" s="1" t="s">
        <v>53</v>
      </c>
      <c r="J902" s="1" t="s">
        <v>25</v>
      </c>
      <c r="K902" s="1" t="s">
        <v>47</v>
      </c>
      <c r="L902" s="1" t="s">
        <v>1797</v>
      </c>
      <c r="M902" s="10">
        <v>126.35</v>
      </c>
      <c r="N902" s="8">
        <v>2</v>
      </c>
      <c r="O902" s="6">
        <v>0.08</v>
      </c>
      <c r="P902" s="10">
        <v>105.5</v>
      </c>
      <c r="Q902" s="11">
        <f t="shared" si="86"/>
        <v>20.849999999999994</v>
      </c>
      <c r="R902" t="str">
        <f t="shared" si="89"/>
        <v>profit</v>
      </c>
    </row>
    <row r="903" spans="1:18" ht="15.75" customHeight="1" x14ac:dyDescent="0.4">
      <c r="A903" s="1" t="s">
        <v>1798</v>
      </c>
      <c r="B903" s="2">
        <v>45417</v>
      </c>
      <c r="C903" s="2">
        <v>45425</v>
      </c>
      <c r="D903" s="2" t="str">
        <f t="shared" si="87"/>
        <v>2024</v>
      </c>
      <c r="E903" s="2" t="str">
        <f t="shared" si="84"/>
        <v>May</v>
      </c>
      <c r="F903" s="2" t="str">
        <f t="shared" si="88"/>
        <v>Q2</v>
      </c>
      <c r="G903" s="13">
        <f t="shared" si="85"/>
        <v>8</v>
      </c>
      <c r="H903" s="12" t="s">
        <v>1987</v>
      </c>
      <c r="I903" s="1" t="s">
        <v>53</v>
      </c>
      <c r="J903" s="1" t="s">
        <v>14</v>
      </c>
      <c r="K903" s="1" t="s">
        <v>30</v>
      </c>
      <c r="L903" s="1" t="s">
        <v>1799</v>
      </c>
      <c r="M903" s="10">
        <v>187.28</v>
      </c>
      <c r="N903" s="8">
        <v>8</v>
      </c>
      <c r="O903" s="6">
        <v>0.43</v>
      </c>
      <c r="P903" s="10">
        <v>58.14</v>
      </c>
      <c r="Q903" s="11">
        <f t="shared" si="86"/>
        <v>129.13999999999999</v>
      </c>
      <c r="R903" t="str">
        <f t="shared" si="89"/>
        <v>profit</v>
      </c>
    </row>
    <row r="904" spans="1:18" ht="15.75" customHeight="1" x14ac:dyDescent="0.4">
      <c r="A904" s="1" t="s">
        <v>1800</v>
      </c>
      <c r="B904" s="2">
        <v>45156</v>
      </c>
      <c r="C904" s="2">
        <v>45161</v>
      </c>
      <c r="D904" s="2" t="str">
        <f t="shared" si="87"/>
        <v>2023</v>
      </c>
      <c r="E904" s="2" t="str">
        <f t="shared" si="84"/>
        <v>August</v>
      </c>
      <c r="F904" s="2" t="str">
        <f t="shared" si="88"/>
        <v>Q3</v>
      </c>
      <c r="G904" s="13">
        <f t="shared" si="85"/>
        <v>5</v>
      </c>
      <c r="H904" s="12" t="s">
        <v>42</v>
      </c>
      <c r="I904" s="1" t="s">
        <v>13</v>
      </c>
      <c r="J904" s="1" t="s">
        <v>14</v>
      </c>
      <c r="K904" s="1" t="s">
        <v>30</v>
      </c>
      <c r="L904" s="1" t="s">
        <v>1801</v>
      </c>
      <c r="M904" s="10">
        <v>306.5</v>
      </c>
      <c r="N904" s="8">
        <v>3</v>
      </c>
      <c r="O904" s="6">
        <v>0.12</v>
      </c>
      <c r="P904" s="10">
        <v>225.1</v>
      </c>
      <c r="Q904" s="11">
        <f t="shared" si="86"/>
        <v>81.400000000000006</v>
      </c>
      <c r="R904" t="str">
        <f t="shared" si="89"/>
        <v>profit</v>
      </c>
    </row>
    <row r="905" spans="1:18" ht="15.75" customHeight="1" x14ac:dyDescent="0.4">
      <c r="A905" s="1" t="s">
        <v>1802</v>
      </c>
      <c r="B905" s="2">
        <v>45336</v>
      </c>
      <c r="C905" s="2">
        <v>45344</v>
      </c>
      <c r="D905" s="2" t="str">
        <f t="shared" si="87"/>
        <v>2024</v>
      </c>
      <c r="E905" s="2" t="str">
        <f t="shared" si="84"/>
        <v>February</v>
      </c>
      <c r="F905" s="2" t="str">
        <f t="shared" si="88"/>
        <v>Q1</v>
      </c>
      <c r="G905" s="13">
        <f t="shared" si="85"/>
        <v>8</v>
      </c>
      <c r="H905" s="12" t="s">
        <v>1986</v>
      </c>
      <c r="I905" s="1" t="s">
        <v>46</v>
      </c>
      <c r="J905" s="1" t="s">
        <v>14</v>
      </c>
      <c r="K905" s="1" t="s">
        <v>54</v>
      </c>
      <c r="L905" s="1" t="s">
        <v>1803</v>
      </c>
      <c r="M905" s="10">
        <v>401.94</v>
      </c>
      <c r="N905" s="8">
        <v>8</v>
      </c>
      <c r="O905" s="6">
        <v>0.48</v>
      </c>
      <c r="P905" s="10">
        <v>180.75</v>
      </c>
      <c r="Q905" s="11">
        <f t="shared" si="86"/>
        <v>221.19</v>
      </c>
      <c r="R905" t="str">
        <f t="shared" si="89"/>
        <v>profit</v>
      </c>
    </row>
    <row r="906" spans="1:18" ht="15.75" customHeight="1" x14ac:dyDescent="0.4">
      <c r="A906" s="1" t="s">
        <v>1804</v>
      </c>
      <c r="B906" s="2">
        <v>45039</v>
      </c>
      <c r="C906" s="2">
        <v>45043</v>
      </c>
      <c r="D906" s="2" t="str">
        <f t="shared" si="87"/>
        <v>2023</v>
      </c>
      <c r="E906" s="2" t="str">
        <f t="shared" si="84"/>
        <v>April</v>
      </c>
      <c r="F906" s="2" t="str">
        <f t="shared" si="88"/>
        <v>Q2</v>
      </c>
      <c r="G906" s="13">
        <f t="shared" si="85"/>
        <v>4</v>
      </c>
      <c r="H906" s="12" t="s">
        <v>1987</v>
      </c>
      <c r="I906" s="1" t="s">
        <v>46</v>
      </c>
      <c r="J906" s="1" t="s">
        <v>19</v>
      </c>
      <c r="K906" s="1" t="s">
        <v>35</v>
      </c>
      <c r="L906" s="1" t="s">
        <v>1805</v>
      </c>
      <c r="M906" s="10">
        <v>259.19</v>
      </c>
      <c r="N906" s="8">
        <v>1</v>
      </c>
      <c r="O906" s="6">
        <v>0.4</v>
      </c>
      <c r="P906" s="10">
        <v>116.9</v>
      </c>
      <c r="Q906" s="11">
        <f t="shared" si="86"/>
        <v>142.29</v>
      </c>
      <c r="R906" t="str">
        <f t="shared" si="89"/>
        <v>profit</v>
      </c>
    </row>
    <row r="907" spans="1:18" ht="15.75" customHeight="1" x14ac:dyDescent="0.4">
      <c r="A907" s="1" t="s">
        <v>1806</v>
      </c>
      <c r="B907" s="2">
        <v>45570</v>
      </c>
      <c r="C907" s="2">
        <v>45572</v>
      </c>
      <c r="D907" s="2" t="str">
        <f t="shared" si="87"/>
        <v>2024</v>
      </c>
      <c r="E907" s="2" t="str">
        <f t="shared" si="84"/>
        <v>October</v>
      </c>
      <c r="F907" s="2" t="str">
        <f t="shared" si="88"/>
        <v>Q4</v>
      </c>
      <c r="G907" s="13">
        <f t="shared" si="85"/>
        <v>2</v>
      </c>
      <c r="H907" s="12" t="s">
        <v>23</v>
      </c>
      <c r="I907" s="1" t="s">
        <v>50</v>
      </c>
      <c r="J907" s="1" t="s">
        <v>25</v>
      </c>
      <c r="K907" s="1" t="s">
        <v>47</v>
      </c>
      <c r="L907" s="1" t="s">
        <v>1807</v>
      </c>
      <c r="M907" s="10">
        <v>846.07</v>
      </c>
      <c r="N907" s="8">
        <v>9</v>
      </c>
      <c r="O907" s="6">
        <v>0.44</v>
      </c>
      <c r="P907" s="10">
        <v>431.35</v>
      </c>
      <c r="Q907" s="11">
        <f t="shared" si="86"/>
        <v>414.72</v>
      </c>
      <c r="R907" t="str">
        <f t="shared" si="89"/>
        <v>profit</v>
      </c>
    </row>
    <row r="908" spans="1:18" ht="15.75" customHeight="1" x14ac:dyDescent="0.4">
      <c r="A908" s="1" t="s">
        <v>1808</v>
      </c>
      <c r="B908" s="2">
        <v>45167</v>
      </c>
      <c r="C908" s="2">
        <v>45171</v>
      </c>
      <c r="D908" s="2" t="str">
        <f t="shared" si="87"/>
        <v>2023</v>
      </c>
      <c r="E908" s="2" t="str">
        <f t="shared" si="84"/>
        <v>September</v>
      </c>
      <c r="F908" s="2" t="str">
        <f t="shared" si="88"/>
        <v>Q4</v>
      </c>
      <c r="G908" s="13">
        <f t="shared" si="85"/>
        <v>4</v>
      </c>
      <c r="H908" s="12" t="s">
        <v>42</v>
      </c>
      <c r="I908" s="1" t="s">
        <v>24</v>
      </c>
      <c r="J908" s="1" t="s">
        <v>25</v>
      </c>
      <c r="K908" s="1" t="s">
        <v>26</v>
      </c>
      <c r="L908" s="1" t="s">
        <v>1809</v>
      </c>
      <c r="M908" s="10">
        <v>446.14</v>
      </c>
      <c r="N908" s="8">
        <v>7</v>
      </c>
      <c r="O908" s="6">
        <v>0.37</v>
      </c>
      <c r="P908" s="10">
        <v>234.59</v>
      </c>
      <c r="Q908" s="11">
        <f t="shared" si="86"/>
        <v>211.54999999999998</v>
      </c>
      <c r="R908" t="str">
        <f t="shared" si="89"/>
        <v>profit</v>
      </c>
    </row>
    <row r="909" spans="1:18" ht="15.75" customHeight="1" x14ac:dyDescent="0.4">
      <c r="A909" s="1" t="s">
        <v>1810</v>
      </c>
      <c r="B909" s="2">
        <v>45593</v>
      </c>
      <c r="C909" s="2">
        <v>45602</v>
      </c>
      <c r="D909" s="2" t="str">
        <f t="shared" si="87"/>
        <v>2024</v>
      </c>
      <c r="E909" s="2" t="str">
        <f t="shared" si="84"/>
        <v>November</v>
      </c>
      <c r="F909" s="2" t="str">
        <f t="shared" si="88"/>
        <v>Q4</v>
      </c>
      <c r="G909" s="13">
        <f t="shared" si="85"/>
        <v>9</v>
      </c>
      <c r="H909" s="12" t="s">
        <v>42</v>
      </c>
      <c r="I909" s="1" t="s">
        <v>59</v>
      </c>
      <c r="J909" s="1" t="s">
        <v>25</v>
      </c>
      <c r="K909" s="1" t="s">
        <v>47</v>
      </c>
      <c r="L909" s="1" t="s">
        <v>1811</v>
      </c>
      <c r="M909" s="10">
        <v>256.24</v>
      </c>
      <c r="N909" s="8">
        <v>7</v>
      </c>
      <c r="O909" s="6">
        <v>0.05</v>
      </c>
      <c r="P909" s="10">
        <v>214.64</v>
      </c>
      <c r="Q909" s="11">
        <f t="shared" si="86"/>
        <v>41.600000000000023</v>
      </c>
      <c r="R909" t="str">
        <f t="shared" si="89"/>
        <v>profit</v>
      </c>
    </row>
    <row r="910" spans="1:18" ht="15.75" customHeight="1" x14ac:dyDescent="0.4">
      <c r="A910" s="1" t="s">
        <v>1812</v>
      </c>
      <c r="B910" s="2">
        <v>45538</v>
      </c>
      <c r="C910" s="2">
        <v>45541</v>
      </c>
      <c r="D910" s="2" t="str">
        <f t="shared" si="87"/>
        <v>2024</v>
      </c>
      <c r="E910" s="2" t="str">
        <f t="shared" si="84"/>
        <v>September</v>
      </c>
      <c r="F910" s="2" t="str">
        <f t="shared" si="88"/>
        <v>Q4</v>
      </c>
      <c r="G910" s="13">
        <f t="shared" si="85"/>
        <v>3</v>
      </c>
      <c r="H910" s="12" t="s">
        <v>1987</v>
      </c>
      <c r="I910" s="1" t="s">
        <v>50</v>
      </c>
      <c r="J910" s="1" t="s">
        <v>14</v>
      </c>
      <c r="K910" s="1" t="s">
        <v>54</v>
      </c>
      <c r="L910" s="1" t="s">
        <v>762</v>
      </c>
      <c r="M910" s="10">
        <v>778.36</v>
      </c>
      <c r="N910" s="8">
        <v>8</v>
      </c>
      <c r="O910" s="6">
        <v>0.11</v>
      </c>
      <c r="P910" s="10">
        <v>679</v>
      </c>
      <c r="Q910" s="11">
        <f t="shared" si="86"/>
        <v>99.360000000000014</v>
      </c>
      <c r="R910" t="str">
        <f t="shared" si="89"/>
        <v>profit</v>
      </c>
    </row>
    <row r="911" spans="1:18" ht="15.75" customHeight="1" x14ac:dyDescent="0.4">
      <c r="A911" s="1" t="s">
        <v>1813</v>
      </c>
      <c r="B911" s="2">
        <v>45585</v>
      </c>
      <c r="C911" s="2">
        <v>45587</v>
      </c>
      <c r="D911" s="2" t="str">
        <f t="shared" si="87"/>
        <v>2024</v>
      </c>
      <c r="E911" s="2" t="str">
        <f t="shared" si="84"/>
        <v>October</v>
      </c>
      <c r="F911" s="2" t="str">
        <f t="shared" si="88"/>
        <v>Q4</v>
      </c>
      <c r="G911" s="13">
        <f t="shared" si="85"/>
        <v>2</v>
      </c>
      <c r="H911" s="12" t="s">
        <v>23</v>
      </c>
      <c r="I911" s="1" t="s">
        <v>13</v>
      </c>
      <c r="J911" s="1" t="s">
        <v>25</v>
      </c>
      <c r="K911" s="1" t="s">
        <v>26</v>
      </c>
      <c r="L911" s="1" t="s">
        <v>1814</v>
      </c>
      <c r="M911" s="10">
        <v>441.4</v>
      </c>
      <c r="N911" s="8">
        <v>10</v>
      </c>
      <c r="O911" s="6">
        <v>0.46</v>
      </c>
      <c r="P911" s="10">
        <v>195.2</v>
      </c>
      <c r="Q911" s="11">
        <f t="shared" si="86"/>
        <v>246.2</v>
      </c>
      <c r="R911" t="str">
        <f t="shared" si="89"/>
        <v>profit</v>
      </c>
    </row>
    <row r="912" spans="1:18" ht="15.75" customHeight="1" x14ac:dyDescent="0.4">
      <c r="A912" s="1" t="s">
        <v>1815</v>
      </c>
      <c r="B912" s="2">
        <v>45145</v>
      </c>
      <c r="C912" s="2">
        <v>45154</v>
      </c>
      <c r="D912" s="2" t="str">
        <f t="shared" si="87"/>
        <v>2023</v>
      </c>
      <c r="E912" s="2" t="str">
        <f t="shared" si="84"/>
        <v>August</v>
      </c>
      <c r="F912" s="2" t="str">
        <f t="shared" si="88"/>
        <v>Q3</v>
      </c>
      <c r="G912" s="13">
        <f t="shared" si="85"/>
        <v>9</v>
      </c>
      <c r="H912" s="12" t="s">
        <v>42</v>
      </c>
      <c r="I912" s="1" t="s">
        <v>59</v>
      </c>
      <c r="J912" s="1" t="s">
        <v>19</v>
      </c>
      <c r="K912" s="1" t="s">
        <v>35</v>
      </c>
      <c r="L912" s="1" t="s">
        <v>1816</v>
      </c>
      <c r="M912" s="10">
        <v>503.48</v>
      </c>
      <c r="N912" s="8">
        <v>6</v>
      </c>
      <c r="O912" s="6">
        <v>0.46</v>
      </c>
      <c r="P912" s="10">
        <v>229.95</v>
      </c>
      <c r="Q912" s="11">
        <f t="shared" si="86"/>
        <v>273.53000000000003</v>
      </c>
      <c r="R912" t="str">
        <f t="shared" si="89"/>
        <v>profit</v>
      </c>
    </row>
    <row r="913" spans="1:18" ht="15.75" customHeight="1" x14ac:dyDescent="0.4">
      <c r="A913" s="1" t="s">
        <v>1817</v>
      </c>
      <c r="B913" s="2">
        <v>45082</v>
      </c>
      <c r="C913" s="2">
        <v>45084</v>
      </c>
      <c r="D913" s="2" t="str">
        <f t="shared" si="87"/>
        <v>2023</v>
      </c>
      <c r="E913" s="2" t="str">
        <f t="shared" si="84"/>
        <v>June</v>
      </c>
      <c r="F913" s="2" t="str">
        <f t="shared" si="88"/>
        <v>Q3</v>
      </c>
      <c r="G913" s="13">
        <f t="shared" si="85"/>
        <v>2</v>
      </c>
      <c r="H913" s="12" t="s">
        <v>23</v>
      </c>
      <c r="I913" s="1" t="s">
        <v>46</v>
      </c>
      <c r="J913" s="1" t="s">
        <v>14</v>
      </c>
      <c r="K913" s="1" t="s">
        <v>54</v>
      </c>
      <c r="L913" s="1" t="s">
        <v>1818</v>
      </c>
      <c r="M913" s="10">
        <v>705.3</v>
      </c>
      <c r="N913" s="8">
        <v>3</v>
      </c>
      <c r="O913" s="6">
        <v>0.22</v>
      </c>
      <c r="P913" s="10">
        <v>517.20000000000005</v>
      </c>
      <c r="Q913" s="11">
        <f t="shared" si="86"/>
        <v>188.09999999999991</v>
      </c>
      <c r="R913" t="str">
        <f t="shared" si="89"/>
        <v>profit</v>
      </c>
    </row>
    <row r="914" spans="1:18" ht="15.75" customHeight="1" x14ac:dyDescent="0.4">
      <c r="A914" s="1" t="s">
        <v>1819</v>
      </c>
      <c r="B914" s="2">
        <v>45230</v>
      </c>
      <c r="C914" s="2">
        <v>45237</v>
      </c>
      <c r="D914" s="2" t="str">
        <f t="shared" si="87"/>
        <v>2023</v>
      </c>
      <c r="E914" s="2" t="str">
        <f t="shared" si="84"/>
        <v>November</v>
      </c>
      <c r="F914" s="2" t="str">
        <f t="shared" si="88"/>
        <v>Q4</v>
      </c>
      <c r="G914" s="13">
        <f t="shared" si="85"/>
        <v>7</v>
      </c>
      <c r="H914" s="12" t="s">
        <v>1987</v>
      </c>
      <c r="I914" s="1" t="s">
        <v>53</v>
      </c>
      <c r="J914" s="1" t="s">
        <v>19</v>
      </c>
      <c r="K914" s="1" t="s">
        <v>35</v>
      </c>
      <c r="L914" s="1" t="s">
        <v>1820</v>
      </c>
      <c r="M914" s="10">
        <v>475.04</v>
      </c>
      <c r="N914" s="8">
        <v>10</v>
      </c>
      <c r="O914" s="6">
        <v>0.02</v>
      </c>
      <c r="P914" s="10">
        <v>420.62</v>
      </c>
      <c r="Q914" s="11">
        <f t="shared" si="86"/>
        <v>54.420000000000016</v>
      </c>
      <c r="R914" t="str">
        <f t="shared" si="89"/>
        <v>profit</v>
      </c>
    </row>
    <row r="915" spans="1:18" ht="15.75" customHeight="1" x14ac:dyDescent="0.4">
      <c r="A915" s="1" t="s">
        <v>1821</v>
      </c>
      <c r="B915" s="2">
        <v>45422</v>
      </c>
      <c r="C915" s="2">
        <v>45424</v>
      </c>
      <c r="D915" s="2" t="str">
        <f t="shared" si="87"/>
        <v>2024</v>
      </c>
      <c r="E915" s="2" t="str">
        <f t="shared" si="84"/>
        <v>May</v>
      </c>
      <c r="F915" s="2" t="str">
        <f t="shared" si="88"/>
        <v>Q2</v>
      </c>
      <c r="G915" s="13">
        <f t="shared" si="85"/>
        <v>2</v>
      </c>
      <c r="H915" s="12" t="s">
        <v>1986</v>
      </c>
      <c r="I915" s="1" t="s">
        <v>50</v>
      </c>
      <c r="J915" s="1" t="s">
        <v>19</v>
      </c>
      <c r="K915" s="1" t="s">
        <v>20</v>
      </c>
      <c r="L915" s="1" t="s">
        <v>1822</v>
      </c>
      <c r="M915" s="10">
        <v>648.11</v>
      </c>
      <c r="N915" s="8">
        <v>7</v>
      </c>
      <c r="O915" s="6">
        <v>0.28000000000000003</v>
      </c>
      <c r="P915" s="10">
        <v>438.96</v>
      </c>
      <c r="Q915" s="11">
        <f t="shared" si="86"/>
        <v>209.15000000000003</v>
      </c>
      <c r="R915" t="str">
        <f t="shared" si="89"/>
        <v>profit</v>
      </c>
    </row>
    <row r="916" spans="1:18" ht="15.75" customHeight="1" x14ac:dyDescent="0.4">
      <c r="A916" s="1" t="s">
        <v>1823</v>
      </c>
      <c r="C916" s="2">
        <v>44928</v>
      </c>
      <c r="D916" s="2" t="str">
        <f t="shared" si="87"/>
        <v/>
      </c>
      <c r="E916" s="2" t="str">
        <f t="shared" si="84"/>
        <v>January</v>
      </c>
      <c r="F916" s="2" t="str">
        <f t="shared" si="88"/>
        <v>Q1</v>
      </c>
      <c r="G916" s="13">
        <f t="shared" si="85"/>
        <v>44928</v>
      </c>
      <c r="H916" s="12" t="s">
        <v>1988</v>
      </c>
      <c r="I916" s="1" t="s">
        <v>29</v>
      </c>
      <c r="J916" s="1" t="s">
        <v>19</v>
      </c>
      <c r="K916" s="1" t="s">
        <v>92</v>
      </c>
      <c r="L916" s="1" t="s">
        <v>1824</v>
      </c>
      <c r="M916" s="11" t="s">
        <v>1989</v>
      </c>
      <c r="N916" s="8">
        <v>5</v>
      </c>
      <c r="O916" s="6">
        <v>0.4</v>
      </c>
      <c r="P916" s="10">
        <v>-12.34</v>
      </c>
      <c r="Q916" s="11" t="e">
        <f t="shared" si="86"/>
        <v>#VALUE!</v>
      </c>
      <c r="R916" t="str">
        <f t="shared" si="89"/>
        <v>loss</v>
      </c>
    </row>
    <row r="917" spans="1:18" ht="15.75" customHeight="1" x14ac:dyDescent="0.4">
      <c r="A917" s="1" t="s">
        <v>1825</v>
      </c>
      <c r="B917" s="2">
        <v>45030</v>
      </c>
      <c r="C917" s="2">
        <v>45032</v>
      </c>
      <c r="D917" s="2" t="str">
        <f t="shared" si="87"/>
        <v>2023</v>
      </c>
      <c r="E917" s="2" t="str">
        <f t="shared" si="84"/>
        <v>April</v>
      </c>
      <c r="F917" s="2" t="str">
        <f t="shared" si="88"/>
        <v>Q2</v>
      </c>
      <c r="G917" s="13">
        <f t="shared" si="85"/>
        <v>2</v>
      </c>
      <c r="H917" s="12" t="s">
        <v>42</v>
      </c>
      <c r="I917" s="1" t="s">
        <v>18</v>
      </c>
      <c r="J917" s="1" t="s">
        <v>25</v>
      </c>
      <c r="K917" s="1" t="s">
        <v>43</v>
      </c>
      <c r="L917" s="1" t="s">
        <v>1826</v>
      </c>
      <c r="M917" s="10">
        <v>520.15</v>
      </c>
      <c r="N917" s="8">
        <v>6</v>
      </c>
      <c r="O917" s="6">
        <v>0.12</v>
      </c>
      <c r="P917" s="10">
        <v>431.73</v>
      </c>
      <c r="Q917" s="11">
        <f t="shared" si="86"/>
        <v>88.419999999999959</v>
      </c>
      <c r="R917" t="str">
        <f t="shared" si="89"/>
        <v>profit</v>
      </c>
    </row>
    <row r="918" spans="1:18" ht="15.75" customHeight="1" x14ac:dyDescent="0.4">
      <c r="A918" s="1" t="s">
        <v>1827</v>
      </c>
      <c r="B918" s="2">
        <v>45342</v>
      </c>
      <c r="C918" s="2">
        <v>45344</v>
      </c>
      <c r="D918" s="2" t="str">
        <f t="shared" si="87"/>
        <v>2024</v>
      </c>
      <c r="E918" s="2" t="str">
        <f t="shared" si="84"/>
        <v>February</v>
      </c>
      <c r="F918" s="2" t="str">
        <f t="shared" si="88"/>
        <v>Q1</v>
      </c>
      <c r="G918" s="13">
        <f t="shared" si="85"/>
        <v>2</v>
      </c>
      <c r="H918" s="12" t="s">
        <v>42</v>
      </c>
      <c r="I918" s="1" t="s">
        <v>59</v>
      </c>
      <c r="J918" s="1" t="s">
        <v>19</v>
      </c>
      <c r="K918" s="1" t="s">
        <v>92</v>
      </c>
      <c r="L918" s="1" t="s">
        <v>1828</v>
      </c>
      <c r="M918" s="10">
        <v>35.1</v>
      </c>
      <c r="N918" s="8">
        <v>9</v>
      </c>
      <c r="O918" s="6">
        <v>0.45</v>
      </c>
      <c r="P918" s="10">
        <v>-7.61</v>
      </c>
      <c r="Q918" s="11">
        <f t="shared" si="86"/>
        <v>42.71</v>
      </c>
      <c r="R918" t="str">
        <f t="shared" si="89"/>
        <v>loss</v>
      </c>
    </row>
    <row r="919" spans="1:18" ht="15.75" customHeight="1" x14ac:dyDescent="0.4">
      <c r="A919" s="1" t="s">
        <v>1829</v>
      </c>
      <c r="B919" s="2">
        <v>45498</v>
      </c>
      <c r="C919" s="2">
        <v>45500</v>
      </c>
      <c r="D919" s="2" t="str">
        <f t="shared" si="87"/>
        <v>2024</v>
      </c>
      <c r="E919" s="2" t="str">
        <f t="shared" si="84"/>
        <v>July</v>
      </c>
      <c r="F919" s="2" t="str">
        <f t="shared" si="88"/>
        <v>Q3</v>
      </c>
      <c r="G919" s="13">
        <f t="shared" si="85"/>
        <v>2</v>
      </c>
      <c r="H919" s="12" t="s">
        <v>1987</v>
      </c>
      <c r="I919" s="1" t="s">
        <v>46</v>
      </c>
      <c r="J919" s="1" t="s">
        <v>19</v>
      </c>
      <c r="K919" s="1" t="s">
        <v>35</v>
      </c>
      <c r="L919" s="1" t="s">
        <v>1830</v>
      </c>
      <c r="M919" s="10">
        <v>395.47</v>
      </c>
      <c r="N919" s="8">
        <v>8</v>
      </c>
      <c r="O919" s="6">
        <v>0.03</v>
      </c>
      <c r="P919" s="10">
        <v>348.26</v>
      </c>
      <c r="Q919" s="11">
        <f t="shared" si="86"/>
        <v>47.210000000000036</v>
      </c>
      <c r="R919" t="str">
        <f t="shared" si="89"/>
        <v>profit</v>
      </c>
    </row>
    <row r="920" spans="1:18" ht="15.75" customHeight="1" x14ac:dyDescent="0.4">
      <c r="A920" s="1" t="s">
        <v>1831</v>
      </c>
      <c r="B920" s="2">
        <v>45015</v>
      </c>
      <c r="C920" s="2">
        <v>45018</v>
      </c>
      <c r="D920" s="2" t="str">
        <f t="shared" si="87"/>
        <v>2023</v>
      </c>
      <c r="E920" s="2" t="str">
        <f t="shared" si="84"/>
        <v>April</v>
      </c>
      <c r="F920" s="2" t="str">
        <f t="shared" si="88"/>
        <v>Q2</v>
      </c>
      <c r="G920" s="13">
        <f t="shared" si="85"/>
        <v>3</v>
      </c>
      <c r="H920" s="12" t="s">
        <v>1987</v>
      </c>
      <c r="I920" s="1" t="s">
        <v>18</v>
      </c>
      <c r="J920" s="1" t="s">
        <v>19</v>
      </c>
      <c r="K920" s="1" t="s">
        <v>35</v>
      </c>
      <c r="L920" s="1" t="s">
        <v>1832</v>
      </c>
      <c r="M920" s="10">
        <v>363.78</v>
      </c>
      <c r="N920" s="8">
        <v>1</v>
      </c>
      <c r="O920" s="6">
        <v>0.24</v>
      </c>
      <c r="P920" s="10">
        <v>254.27</v>
      </c>
      <c r="Q920" s="11">
        <f t="shared" si="86"/>
        <v>109.50999999999996</v>
      </c>
      <c r="R920" t="str">
        <f t="shared" si="89"/>
        <v>profit</v>
      </c>
    </row>
    <row r="921" spans="1:18" ht="15.75" customHeight="1" x14ac:dyDescent="0.4">
      <c r="A921" s="3" t="s">
        <v>1833</v>
      </c>
      <c r="B921" s="2">
        <v>45173</v>
      </c>
      <c r="C921" s="2">
        <v>45173</v>
      </c>
      <c r="D921" s="2" t="str">
        <f t="shared" si="87"/>
        <v>2023</v>
      </c>
      <c r="E921" s="2" t="str">
        <f t="shared" si="84"/>
        <v>September</v>
      </c>
      <c r="F921" s="2" t="str">
        <f t="shared" si="88"/>
        <v>Q4</v>
      </c>
      <c r="G921" s="13">
        <f t="shared" si="85"/>
        <v>0</v>
      </c>
      <c r="H921" s="12" t="s">
        <v>23</v>
      </c>
      <c r="I921" s="1" t="s">
        <v>46</v>
      </c>
      <c r="J921" s="1" t="s">
        <v>19</v>
      </c>
      <c r="K921" s="1" t="s">
        <v>92</v>
      </c>
      <c r="L921" s="1" t="s">
        <v>1834</v>
      </c>
      <c r="M921" s="10">
        <v>625.4</v>
      </c>
      <c r="N921" s="8">
        <v>9</v>
      </c>
      <c r="O921" s="6">
        <v>0.19</v>
      </c>
      <c r="P921" s="10">
        <v>491.13</v>
      </c>
      <c r="Q921" s="11">
        <f t="shared" si="86"/>
        <v>134.26999999999998</v>
      </c>
      <c r="R921" t="str">
        <f t="shared" si="89"/>
        <v>profit</v>
      </c>
    </row>
    <row r="922" spans="1:18" ht="15.75" customHeight="1" x14ac:dyDescent="0.4">
      <c r="A922" s="1" t="s">
        <v>1835</v>
      </c>
      <c r="B922" s="2">
        <v>45366</v>
      </c>
      <c r="C922" s="2">
        <v>45373</v>
      </c>
      <c r="D922" s="2" t="str">
        <f t="shared" si="87"/>
        <v>2024</v>
      </c>
      <c r="E922" s="2" t="str">
        <f t="shared" si="84"/>
        <v>March</v>
      </c>
      <c r="F922" s="2" t="str">
        <f t="shared" si="88"/>
        <v>Q2</v>
      </c>
      <c r="G922" s="13">
        <f t="shared" si="85"/>
        <v>7</v>
      </c>
      <c r="H922" s="12" t="s">
        <v>42</v>
      </c>
      <c r="I922" s="1" t="s">
        <v>50</v>
      </c>
      <c r="J922" s="1" t="s">
        <v>19</v>
      </c>
      <c r="K922" s="1" t="s">
        <v>20</v>
      </c>
      <c r="L922" s="1" t="s">
        <v>1836</v>
      </c>
      <c r="M922" s="10">
        <v>262.58</v>
      </c>
      <c r="N922" s="8">
        <v>10</v>
      </c>
      <c r="O922" s="6">
        <v>0.03</v>
      </c>
      <c r="P922" s="10">
        <v>208.31</v>
      </c>
      <c r="Q922" s="11">
        <f t="shared" si="86"/>
        <v>54.269999999999982</v>
      </c>
      <c r="R922" t="str">
        <f t="shared" si="89"/>
        <v>profit</v>
      </c>
    </row>
    <row r="923" spans="1:18" ht="15.75" customHeight="1" x14ac:dyDescent="0.4">
      <c r="A923" s="1" t="s">
        <v>1837</v>
      </c>
      <c r="B923" s="2">
        <v>45391</v>
      </c>
      <c r="C923" s="2">
        <v>45400</v>
      </c>
      <c r="D923" s="2" t="str">
        <f t="shared" si="87"/>
        <v>2024</v>
      </c>
      <c r="E923" s="2" t="str">
        <f t="shared" si="84"/>
        <v>April</v>
      </c>
      <c r="F923" s="2" t="str">
        <f t="shared" si="88"/>
        <v>Q2</v>
      </c>
      <c r="G923" s="13">
        <f t="shared" si="85"/>
        <v>9</v>
      </c>
      <c r="H923" s="12" t="s">
        <v>23</v>
      </c>
      <c r="I923" s="1" t="s">
        <v>29</v>
      </c>
      <c r="J923" s="1" t="s">
        <v>14</v>
      </c>
      <c r="K923" s="1" t="s">
        <v>30</v>
      </c>
      <c r="L923" s="1" t="s">
        <v>1838</v>
      </c>
      <c r="M923" s="10">
        <v>308.33</v>
      </c>
      <c r="N923" s="8">
        <v>10</v>
      </c>
      <c r="O923" s="6">
        <v>0</v>
      </c>
      <c r="P923" s="10">
        <v>282.66000000000003</v>
      </c>
      <c r="Q923" s="11">
        <f t="shared" si="86"/>
        <v>25.669999999999959</v>
      </c>
      <c r="R923" t="str">
        <f t="shared" si="89"/>
        <v>profit</v>
      </c>
    </row>
    <row r="924" spans="1:18" ht="15.75" customHeight="1" x14ac:dyDescent="0.4">
      <c r="A924" s="1" t="s">
        <v>1839</v>
      </c>
      <c r="B924" s="2">
        <v>45591</v>
      </c>
      <c r="C924" s="2">
        <v>45593</v>
      </c>
      <c r="D924" s="2" t="str">
        <f t="shared" si="87"/>
        <v>2024</v>
      </c>
      <c r="E924" s="2" t="str">
        <f t="shared" si="84"/>
        <v>October</v>
      </c>
      <c r="F924" s="2" t="str">
        <f t="shared" si="88"/>
        <v>Q4</v>
      </c>
      <c r="G924" s="13">
        <f t="shared" si="85"/>
        <v>2</v>
      </c>
      <c r="H924" s="12" t="s">
        <v>1987</v>
      </c>
      <c r="I924" s="1" t="s">
        <v>18</v>
      </c>
      <c r="J924" s="1" t="s">
        <v>14</v>
      </c>
      <c r="K924" s="1" t="s">
        <v>30</v>
      </c>
      <c r="L924" s="1" t="s">
        <v>1840</v>
      </c>
      <c r="M924" s="10">
        <v>291.05</v>
      </c>
      <c r="N924" s="8">
        <v>6</v>
      </c>
      <c r="O924" s="6">
        <v>0.19</v>
      </c>
      <c r="P924" s="10">
        <v>200.03</v>
      </c>
      <c r="Q924" s="11">
        <f t="shared" si="86"/>
        <v>91.02000000000001</v>
      </c>
      <c r="R924" t="str">
        <f t="shared" si="89"/>
        <v>profit</v>
      </c>
    </row>
    <row r="925" spans="1:18" ht="15.75" customHeight="1" x14ac:dyDescent="0.4">
      <c r="A925" s="1" t="s">
        <v>1841</v>
      </c>
      <c r="B925" s="2">
        <v>45072</v>
      </c>
      <c r="C925" s="2">
        <v>45074</v>
      </c>
      <c r="D925" s="2" t="str">
        <f t="shared" si="87"/>
        <v>2023</v>
      </c>
      <c r="E925" s="2" t="str">
        <f t="shared" si="84"/>
        <v>May</v>
      </c>
      <c r="F925" s="2" t="str">
        <f t="shared" si="88"/>
        <v>Q2</v>
      </c>
      <c r="G925" s="13">
        <f t="shared" si="85"/>
        <v>2</v>
      </c>
      <c r="H925" s="12" t="s">
        <v>1986</v>
      </c>
      <c r="I925" s="1" t="s">
        <v>29</v>
      </c>
      <c r="J925" s="1" t="s">
        <v>25</v>
      </c>
      <c r="K925" s="1" t="s">
        <v>43</v>
      </c>
      <c r="L925" s="1" t="s">
        <v>1842</v>
      </c>
      <c r="M925" s="10">
        <v>550.04</v>
      </c>
      <c r="N925" s="8">
        <v>10</v>
      </c>
      <c r="O925" s="6">
        <v>0.42</v>
      </c>
      <c r="P925" s="10">
        <v>296.55</v>
      </c>
      <c r="Q925" s="11">
        <f t="shared" si="86"/>
        <v>253.48999999999995</v>
      </c>
      <c r="R925" t="str">
        <f t="shared" si="89"/>
        <v>profit</v>
      </c>
    </row>
    <row r="926" spans="1:18" ht="15.75" customHeight="1" x14ac:dyDescent="0.4">
      <c r="A926" s="1" t="s">
        <v>1843</v>
      </c>
      <c r="B926" s="2">
        <v>45472</v>
      </c>
      <c r="C926" s="2">
        <v>45480</v>
      </c>
      <c r="D926" s="2" t="str">
        <f t="shared" si="87"/>
        <v>2024</v>
      </c>
      <c r="E926" s="2" t="str">
        <f t="shared" si="84"/>
        <v>July</v>
      </c>
      <c r="F926" s="2" t="str">
        <f t="shared" si="88"/>
        <v>Q3</v>
      </c>
      <c r="G926" s="13">
        <f t="shared" si="85"/>
        <v>8</v>
      </c>
      <c r="H926" s="12" t="s">
        <v>23</v>
      </c>
      <c r="I926" s="1" t="s">
        <v>53</v>
      </c>
      <c r="J926" s="1" t="s">
        <v>25</v>
      </c>
      <c r="K926" s="1" t="s">
        <v>47</v>
      </c>
      <c r="L926" s="1" t="s">
        <v>1844</v>
      </c>
      <c r="M926" s="10">
        <v>292.76</v>
      </c>
      <c r="N926" s="8">
        <v>5</v>
      </c>
      <c r="O926" s="6">
        <v>0.49</v>
      </c>
      <c r="P926" s="10">
        <v>111.08</v>
      </c>
      <c r="Q926" s="11">
        <f t="shared" si="86"/>
        <v>181.68</v>
      </c>
      <c r="R926" t="str">
        <f t="shared" si="89"/>
        <v>profit</v>
      </c>
    </row>
    <row r="927" spans="1:18" ht="15.75" customHeight="1" x14ac:dyDescent="0.4">
      <c r="A927" s="1" t="s">
        <v>1845</v>
      </c>
      <c r="B927" s="2">
        <v>45082</v>
      </c>
      <c r="C927" s="2">
        <v>45086</v>
      </c>
      <c r="D927" s="2" t="str">
        <f t="shared" si="87"/>
        <v>2023</v>
      </c>
      <c r="E927" s="2" t="str">
        <f t="shared" si="84"/>
        <v>June</v>
      </c>
      <c r="F927" s="2" t="str">
        <f t="shared" si="88"/>
        <v>Q3</v>
      </c>
      <c r="G927" s="13">
        <f t="shared" si="85"/>
        <v>4</v>
      </c>
      <c r="H927" s="12" t="s">
        <v>1986</v>
      </c>
      <c r="I927" s="1" t="s">
        <v>46</v>
      </c>
      <c r="J927" s="1" t="s">
        <v>14</v>
      </c>
      <c r="K927" s="1" t="s">
        <v>15</v>
      </c>
      <c r="L927" s="1" t="s">
        <v>1846</v>
      </c>
      <c r="M927" s="10">
        <v>824.6</v>
      </c>
      <c r="N927" s="8">
        <v>4</v>
      </c>
      <c r="O927" s="6">
        <v>0.03</v>
      </c>
      <c r="P927" s="10">
        <v>786.78</v>
      </c>
      <c r="Q927" s="11">
        <f t="shared" si="86"/>
        <v>37.82000000000005</v>
      </c>
      <c r="R927" t="str">
        <f t="shared" si="89"/>
        <v>profit</v>
      </c>
    </row>
    <row r="928" spans="1:18" ht="15.75" customHeight="1" x14ac:dyDescent="0.4">
      <c r="A928" s="1" t="s">
        <v>1847</v>
      </c>
      <c r="B928" s="2">
        <v>45077</v>
      </c>
      <c r="C928" s="2">
        <v>45086</v>
      </c>
      <c r="D928" s="2" t="str">
        <f t="shared" si="87"/>
        <v>2023</v>
      </c>
      <c r="E928" s="2" t="str">
        <f t="shared" si="84"/>
        <v>June</v>
      </c>
      <c r="F928" s="2" t="str">
        <f t="shared" si="88"/>
        <v>Q3</v>
      </c>
      <c r="G928" s="13">
        <f t="shared" si="85"/>
        <v>9</v>
      </c>
      <c r="H928" s="12" t="s">
        <v>1986</v>
      </c>
      <c r="I928" s="1" t="s">
        <v>59</v>
      </c>
      <c r="J928" s="1" t="s">
        <v>19</v>
      </c>
      <c r="K928" s="1" t="s">
        <v>35</v>
      </c>
      <c r="L928" s="1" t="s">
        <v>1286</v>
      </c>
      <c r="M928" s="10">
        <v>987.09</v>
      </c>
      <c r="N928" s="8">
        <v>5</v>
      </c>
      <c r="O928" s="6">
        <v>0.37</v>
      </c>
      <c r="P928" s="10">
        <v>573.25</v>
      </c>
      <c r="Q928" s="11">
        <f t="shared" si="86"/>
        <v>413.84000000000003</v>
      </c>
      <c r="R928" t="str">
        <f t="shared" si="89"/>
        <v>profit</v>
      </c>
    </row>
    <row r="929" spans="1:18" ht="15.75" customHeight="1" x14ac:dyDescent="0.4">
      <c r="A929" s="1" t="s">
        <v>1848</v>
      </c>
      <c r="B929" s="2">
        <v>45365</v>
      </c>
      <c r="C929" s="2">
        <v>45365</v>
      </c>
      <c r="D929" s="2" t="str">
        <f t="shared" si="87"/>
        <v>2024</v>
      </c>
      <c r="E929" s="2" t="str">
        <f t="shared" si="84"/>
        <v>March</v>
      </c>
      <c r="F929" s="2" t="str">
        <f t="shared" si="88"/>
        <v>Q2</v>
      </c>
      <c r="G929" s="13">
        <f t="shared" si="85"/>
        <v>0</v>
      </c>
      <c r="H929" s="12" t="s">
        <v>1986</v>
      </c>
      <c r="I929" s="1" t="s">
        <v>50</v>
      </c>
      <c r="J929" s="1" t="s">
        <v>19</v>
      </c>
      <c r="K929" s="1" t="s">
        <v>35</v>
      </c>
      <c r="L929" s="1" t="s">
        <v>1849</v>
      </c>
      <c r="M929" s="10">
        <v>214.08</v>
      </c>
      <c r="N929" s="8">
        <v>7</v>
      </c>
      <c r="O929" s="6">
        <v>0.2</v>
      </c>
      <c r="P929" s="10">
        <v>126.61</v>
      </c>
      <c r="Q929" s="11">
        <f t="shared" si="86"/>
        <v>87.470000000000013</v>
      </c>
      <c r="R929" t="str">
        <f t="shared" si="89"/>
        <v>profit</v>
      </c>
    </row>
    <row r="930" spans="1:18" ht="15.75" customHeight="1" x14ac:dyDescent="0.4">
      <c r="A930" s="1" t="s">
        <v>1850</v>
      </c>
      <c r="C930" s="2">
        <v>45342</v>
      </c>
      <c r="D930" s="2" t="str">
        <f t="shared" si="87"/>
        <v/>
      </c>
      <c r="E930" s="2" t="str">
        <f t="shared" si="84"/>
        <v>February</v>
      </c>
      <c r="F930" s="2" t="str">
        <f t="shared" si="88"/>
        <v>Q1</v>
      </c>
      <c r="G930" s="13">
        <f t="shared" si="85"/>
        <v>45342</v>
      </c>
      <c r="H930" s="12" t="s">
        <v>1988</v>
      </c>
      <c r="I930" s="1" t="s">
        <v>59</v>
      </c>
      <c r="J930" s="1" t="s">
        <v>14</v>
      </c>
      <c r="K930" s="1" t="s">
        <v>15</v>
      </c>
      <c r="L930" s="1" t="s">
        <v>1851</v>
      </c>
      <c r="M930" s="11" t="s">
        <v>1989</v>
      </c>
      <c r="N930" s="8">
        <v>6</v>
      </c>
      <c r="O930" s="6">
        <v>0.49</v>
      </c>
      <c r="P930" s="10">
        <v>211.56</v>
      </c>
      <c r="Q930" s="11" t="e">
        <f t="shared" si="86"/>
        <v>#VALUE!</v>
      </c>
      <c r="R930" t="str">
        <f t="shared" si="89"/>
        <v>profit</v>
      </c>
    </row>
    <row r="931" spans="1:18" ht="15.75" customHeight="1" x14ac:dyDescent="0.4">
      <c r="A931" s="1" t="s">
        <v>1852</v>
      </c>
      <c r="B931" s="2">
        <v>45328</v>
      </c>
      <c r="C931" s="2">
        <v>45333</v>
      </c>
      <c r="D931" s="2" t="str">
        <f t="shared" si="87"/>
        <v>2024</v>
      </c>
      <c r="E931" s="2" t="str">
        <f t="shared" si="84"/>
        <v>February</v>
      </c>
      <c r="F931" s="2" t="str">
        <f t="shared" si="88"/>
        <v>Q1</v>
      </c>
      <c r="G931" s="13">
        <f t="shared" si="85"/>
        <v>5</v>
      </c>
      <c r="H931" s="12" t="s">
        <v>1987</v>
      </c>
      <c r="I931" s="1" t="s">
        <v>46</v>
      </c>
      <c r="J931" s="1" t="s">
        <v>14</v>
      </c>
      <c r="K931" s="1" t="s">
        <v>54</v>
      </c>
      <c r="L931" s="1" t="s">
        <v>1853</v>
      </c>
      <c r="M931" s="10">
        <v>398.47</v>
      </c>
      <c r="N931" s="8">
        <v>3</v>
      </c>
      <c r="O931" s="6">
        <v>0.12</v>
      </c>
      <c r="P931" s="10">
        <v>317.52999999999997</v>
      </c>
      <c r="Q931" s="11">
        <f t="shared" si="86"/>
        <v>80.940000000000055</v>
      </c>
      <c r="R931" t="str">
        <f t="shared" si="89"/>
        <v>profit</v>
      </c>
    </row>
    <row r="932" spans="1:18" ht="15.75" customHeight="1" x14ac:dyDescent="0.4">
      <c r="A932" s="1" t="s">
        <v>1854</v>
      </c>
      <c r="B932" s="2">
        <v>45322</v>
      </c>
      <c r="C932" s="2">
        <v>45323</v>
      </c>
      <c r="D932" s="2" t="str">
        <f t="shared" si="87"/>
        <v>2024</v>
      </c>
      <c r="E932" s="2" t="str">
        <f t="shared" si="84"/>
        <v>February</v>
      </c>
      <c r="F932" s="2" t="str">
        <f t="shared" si="88"/>
        <v>Q1</v>
      </c>
      <c r="G932" s="13">
        <f t="shared" si="85"/>
        <v>1</v>
      </c>
      <c r="H932" s="12" t="s">
        <v>1986</v>
      </c>
      <c r="I932" s="1" t="s">
        <v>50</v>
      </c>
      <c r="J932" s="1" t="s">
        <v>19</v>
      </c>
      <c r="K932" s="1" t="s">
        <v>92</v>
      </c>
      <c r="L932" s="1" t="s">
        <v>1855</v>
      </c>
      <c r="M932" s="10">
        <v>528.95000000000005</v>
      </c>
      <c r="N932" s="8">
        <v>4</v>
      </c>
      <c r="O932" s="6">
        <v>0.13</v>
      </c>
      <c r="P932" s="10">
        <v>434.99</v>
      </c>
      <c r="Q932" s="11">
        <f t="shared" si="86"/>
        <v>93.960000000000036</v>
      </c>
      <c r="R932" t="str">
        <f t="shared" si="89"/>
        <v>profit</v>
      </c>
    </row>
    <row r="933" spans="1:18" ht="15.75" customHeight="1" x14ac:dyDescent="0.4">
      <c r="A933" s="1" t="s">
        <v>1856</v>
      </c>
      <c r="B933" s="2">
        <v>45427</v>
      </c>
      <c r="C933" s="2">
        <v>45427</v>
      </c>
      <c r="D933" s="2" t="str">
        <f t="shared" si="87"/>
        <v>2024</v>
      </c>
      <c r="E933" s="2" t="str">
        <f t="shared" si="84"/>
        <v>May</v>
      </c>
      <c r="F933" s="2" t="str">
        <f t="shared" si="88"/>
        <v>Q2</v>
      </c>
      <c r="G933" s="13">
        <f t="shared" si="85"/>
        <v>0</v>
      </c>
      <c r="H933" s="12" t="s">
        <v>23</v>
      </c>
      <c r="I933" s="1" t="s">
        <v>13</v>
      </c>
      <c r="J933" s="1" t="s">
        <v>25</v>
      </c>
      <c r="K933" s="1" t="s">
        <v>26</v>
      </c>
      <c r="L933" s="1" t="s">
        <v>1857</v>
      </c>
      <c r="M933" s="10">
        <v>899.05</v>
      </c>
      <c r="N933" s="8">
        <v>3</v>
      </c>
      <c r="O933" s="6">
        <v>0.4</v>
      </c>
      <c r="P933" s="10">
        <v>516.54</v>
      </c>
      <c r="Q933" s="11">
        <f t="shared" si="86"/>
        <v>382.51</v>
      </c>
      <c r="R933" t="str">
        <f t="shared" si="89"/>
        <v>profit</v>
      </c>
    </row>
    <row r="934" spans="1:18" ht="15.75" customHeight="1" x14ac:dyDescent="0.4">
      <c r="A934" s="1" t="s">
        <v>1858</v>
      </c>
      <c r="B934" s="2">
        <v>44982</v>
      </c>
      <c r="C934" s="2">
        <v>44983</v>
      </c>
      <c r="D934" s="2" t="str">
        <f t="shared" si="87"/>
        <v>2023</v>
      </c>
      <c r="E934" s="2" t="str">
        <f t="shared" si="84"/>
        <v>February</v>
      </c>
      <c r="F934" s="2" t="str">
        <f t="shared" si="88"/>
        <v>Q1</v>
      </c>
      <c r="G934" s="13">
        <f t="shared" si="85"/>
        <v>1</v>
      </c>
      <c r="H934" s="12" t="s">
        <v>23</v>
      </c>
      <c r="I934" s="1" t="s">
        <v>18</v>
      </c>
      <c r="J934" s="1" t="s">
        <v>14</v>
      </c>
      <c r="K934" s="1" t="s">
        <v>30</v>
      </c>
      <c r="L934" s="1" t="s">
        <v>1859</v>
      </c>
      <c r="M934" s="10">
        <v>905.01</v>
      </c>
      <c r="N934" s="8">
        <v>6</v>
      </c>
      <c r="O934" s="6">
        <v>0.04</v>
      </c>
      <c r="P934" s="10">
        <v>823.54</v>
      </c>
      <c r="Q934" s="11">
        <f t="shared" si="86"/>
        <v>81.470000000000027</v>
      </c>
      <c r="R934" t="str">
        <f t="shared" si="89"/>
        <v>profit</v>
      </c>
    </row>
    <row r="935" spans="1:18" ht="15.75" customHeight="1" x14ac:dyDescent="0.4">
      <c r="A935" s="1" t="s">
        <v>1860</v>
      </c>
      <c r="B935" s="2">
        <v>45582</v>
      </c>
      <c r="C935" s="2">
        <v>45583</v>
      </c>
      <c r="D935" s="2" t="str">
        <f t="shared" si="87"/>
        <v>2024</v>
      </c>
      <c r="E935" s="2" t="str">
        <f t="shared" si="84"/>
        <v>October</v>
      </c>
      <c r="F935" s="2" t="str">
        <f t="shared" si="88"/>
        <v>Q4</v>
      </c>
      <c r="G935" s="13">
        <f t="shared" si="85"/>
        <v>1</v>
      </c>
      <c r="H935" s="12" t="s">
        <v>1987</v>
      </c>
      <c r="I935" s="1" t="s">
        <v>46</v>
      </c>
      <c r="J935" s="1" t="s">
        <v>14</v>
      </c>
      <c r="K935" s="1" t="s">
        <v>15</v>
      </c>
      <c r="L935" s="1" t="s">
        <v>1861</v>
      </c>
      <c r="M935" s="10">
        <v>949.78</v>
      </c>
      <c r="N935" s="8">
        <v>6</v>
      </c>
      <c r="O935" s="6">
        <v>0.46</v>
      </c>
      <c r="P935" s="10">
        <v>469.62</v>
      </c>
      <c r="Q935" s="11">
        <f t="shared" si="86"/>
        <v>480.15999999999997</v>
      </c>
      <c r="R935" t="str">
        <f t="shared" si="89"/>
        <v>profit</v>
      </c>
    </row>
    <row r="936" spans="1:18" ht="15.75" customHeight="1" x14ac:dyDescent="0.4">
      <c r="A936" s="1" t="s">
        <v>1862</v>
      </c>
      <c r="B936" s="2">
        <v>45243</v>
      </c>
      <c r="C936" s="2">
        <v>45250</v>
      </c>
      <c r="D936" s="2" t="str">
        <f t="shared" si="87"/>
        <v>2023</v>
      </c>
      <c r="E936" s="2" t="str">
        <f t="shared" si="84"/>
        <v>November</v>
      </c>
      <c r="F936" s="2" t="str">
        <f t="shared" si="88"/>
        <v>Q4</v>
      </c>
      <c r="G936" s="13">
        <f t="shared" si="85"/>
        <v>7</v>
      </c>
      <c r="H936" s="12" t="s">
        <v>1987</v>
      </c>
      <c r="I936" s="1" t="s">
        <v>59</v>
      </c>
      <c r="J936" s="1" t="s">
        <v>19</v>
      </c>
      <c r="K936" s="1" t="s">
        <v>20</v>
      </c>
      <c r="L936" s="1" t="s">
        <v>1863</v>
      </c>
      <c r="M936" s="10">
        <v>615.55999999999995</v>
      </c>
      <c r="N936" s="8">
        <v>10</v>
      </c>
      <c r="O936" s="6">
        <v>0.42</v>
      </c>
      <c r="P936" s="10">
        <v>319.87</v>
      </c>
      <c r="Q936" s="11">
        <f t="shared" si="86"/>
        <v>295.68999999999994</v>
      </c>
      <c r="R936" t="str">
        <f t="shared" si="89"/>
        <v>profit</v>
      </c>
    </row>
    <row r="937" spans="1:18" ht="15.75" customHeight="1" x14ac:dyDescent="0.4">
      <c r="A937" s="1" t="s">
        <v>1864</v>
      </c>
      <c r="B937" s="2">
        <v>45342</v>
      </c>
      <c r="C937" s="2">
        <v>45351</v>
      </c>
      <c r="D937" s="2" t="str">
        <f t="shared" si="87"/>
        <v>2024</v>
      </c>
      <c r="E937" s="2" t="str">
        <f t="shared" si="84"/>
        <v>February</v>
      </c>
      <c r="F937" s="2" t="str">
        <f t="shared" si="88"/>
        <v>Q1</v>
      </c>
      <c r="G937" s="13">
        <f t="shared" si="85"/>
        <v>9</v>
      </c>
      <c r="H937" s="12" t="s">
        <v>23</v>
      </c>
      <c r="I937" s="1" t="s">
        <v>24</v>
      </c>
      <c r="J937" s="1" t="s">
        <v>14</v>
      </c>
      <c r="K937" s="1" t="s">
        <v>15</v>
      </c>
      <c r="L937" s="1" t="s">
        <v>1865</v>
      </c>
      <c r="M937" s="10">
        <v>102.85</v>
      </c>
      <c r="N937" s="8">
        <v>8</v>
      </c>
      <c r="O937" s="6">
        <v>0.17</v>
      </c>
      <c r="P937" s="10">
        <v>70.2</v>
      </c>
      <c r="Q937" s="11">
        <f t="shared" si="86"/>
        <v>32.649999999999991</v>
      </c>
      <c r="R937" t="str">
        <f t="shared" si="89"/>
        <v>profit</v>
      </c>
    </row>
    <row r="938" spans="1:18" ht="15.75" customHeight="1" x14ac:dyDescent="0.4">
      <c r="A938" s="1" t="s">
        <v>1866</v>
      </c>
      <c r="B938" s="2">
        <v>45496</v>
      </c>
      <c r="C938" s="2">
        <v>45498</v>
      </c>
      <c r="D938" s="2" t="str">
        <f t="shared" si="87"/>
        <v>2024</v>
      </c>
      <c r="E938" s="2" t="str">
        <f t="shared" si="84"/>
        <v>July</v>
      </c>
      <c r="F938" s="2" t="str">
        <f t="shared" si="88"/>
        <v>Q3</v>
      </c>
      <c r="G938" s="13">
        <f t="shared" si="85"/>
        <v>2</v>
      </c>
      <c r="H938" s="12" t="s">
        <v>23</v>
      </c>
      <c r="I938" s="1" t="s">
        <v>13</v>
      </c>
      <c r="J938" s="1" t="s">
        <v>25</v>
      </c>
      <c r="K938" s="1" t="s">
        <v>26</v>
      </c>
      <c r="L938" s="1" t="s">
        <v>1867</v>
      </c>
      <c r="M938" s="10">
        <v>116.03</v>
      </c>
      <c r="N938" s="8">
        <v>5</v>
      </c>
      <c r="O938" s="6">
        <v>0.48</v>
      </c>
      <c r="P938" s="10">
        <v>15.48</v>
      </c>
      <c r="Q938" s="11">
        <f t="shared" si="86"/>
        <v>100.55</v>
      </c>
      <c r="R938" t="str">
        <f t="shared" si="89"/>
        <v>profit</v>
      </c>
    </row>
    <row r="939" spans="1:18" ht="15.75" customHeight="1" x14ac:dyDescent="0.4">
      <c r="A939" s="1" t="s">
        <v>1868</v>
      </c>
      <c r="C939" s="2">
        <v>45485</v>
      </c>
      <c r="D939" s="2" t="str">
        <f t="shared" si="87"/>
        <v/>
      </c>
      <c r="E939" s="2" t="str">
        <f t="shared" si="84"/>
        <v>July</v>
      </c>
      <c r="F939" s="2" t="str">
        <f t="shared" si="88"/>
        <v>Q3</v>
      </c>
      <c r="G939" s="13">
        <f t="shared" si="85"/>
        <v>45485</v>
      </c>
      <c r="H939" s="12" t="s">
        <v>1988</v>
      </c>
      <c r="I939" s="1" t="s">
        <v>29</v>
      </c>
      <c r="J939" s="1" t="s">
        <v>14</v>
      </c>
      <c r="K939" s="1" t="s">
        <v>15</v>
      </c>
      <c r="L939" s="1" t="s">
        <v>1869</v>
      </c>
      <c r="M939" s="11" t="s">
        <v>1989</v>
      </c>
      <c r="N939" s="8">
        <v>7</v>
      </c>
      <c r="O939" s="6">
        <v>0.45</v>
      </c>
      <c r="P939" s="10">
        <v>84.16</v>
      </c>
      <c r="Q939" s="11" t="e">
        <f t="shared" si="86"/>
        <v>#VALUE!</v>
      </c>
      <c r="R939" t="str">
        <f t="shared" si="89"/>
        <v>profit</v>
      </c>
    </row>
    <row r="940" spans="1:18" ht="15.75" customHeight="1" x14ac:dyDescent="0.4">
      <c r="A940" s="1" t="s">
        <v>1870</v>
      </c>
      <c r="B940" s="2">
        <v>44923</v>
      </c>
      <c r="C940" s="2">
        <v>44928</v>
      </c>
      <c r="D940" s="2" t="str">
        <f t="shared" si="87"/>
        <v>2022</v>
      </c>
      <c r="E940" s="2" t="str">
        <f t="shared" si="84"/>
        <v>January</v>
      </c>
      <c r="F940" s="2" t="str">
        <f t="shared" si="88"/>
        <v>Q1</v>
      </c>
      <c r="G940" s="13">
        <f t="shared" si="85"/>
        <v>5</v>
      </c>
      <c r="H940" s="12" t="s">
        <v>23</v>
      </c>
      <c r="I940" s="1" t="s">
        <v>13</v>
      </c>
      <c r="J940" s="1" t="s">
        <v>19</v>
      </c>
      <c r="K940" s="1" t="s">
        <v>92</v>
      </c>
      <c r="L940" s="1" t="s">
        <v>1871</v>
      </c>
      <c r="M940" s="10">
        <v>365.15</v>
      </c>
      <c r="N940" s="8">
        <v>5</v>
      </c>
      <c r="O940" s="6">
        <v>0.21</v>
      </c>
      <c r="P940" s="10">
        <v>272.58999999999997</v>
      </c>
      <c r="Q940" s="11">
        <f t="shared" si="86"/>
        <v>92.56</v>
      </c>
      <c r="R940" t="str">
        <f t="shared" si="89"/>
        <v>profit</v>
      </c>
    </row>
    <row r="941" spans="1:18" ht="15.75" customHeight="1" x14ac:dyDescent="0.4">
      <c r="A941" s="1" t="s">
        <v>1872</v>
      </c>
      <c r="B941" s="2">
        <v>45439</v>
      </c>
      <c r="C941" s="2">
        <v>45443</v>
      </c>
      <c r="D941" s="2" t="str">
        <f t="shared" si="87"/>
        <v>2024</v>
      </c>
      <c r="E941" s="2" t="str">
        <f t="shared" si="84"/>
        <v>May</v>
      </c>
      <c r="F941" s="2" t="str">
        <f t="shared" si="88"/>
        <v>Q2</v>
      </c>
      <c r="G941" s="13">
        <f t="shared" si="85"/>
        <v>4</v>
      </c>
      <c r="H941" s="12" t="s">
        <v>1986</v>
      </c>
      <c r="I941" s="1" t="s">
        <v>50</v>
      </c>
      <c r="J941" s="1" t="s">
        <v>19</v>
      </c>
      <c r="K941" s="1" t="s">
        <v>35</v>
      </c>
      <c r="L941" s="1" t="s">
        <v>1873</v>
      </c>
      <c r="M941" s="10">
        <v>60.86</v>
      </c>
      <c r="N941" s="8">
        <v>8</v>
      </c>
      <c r="O941" s="6">
        <v>0.47</v>
      </c>
      <c r="P941" s="10">
        <v>-11.24</v>
      </c>
      <c r="Q941" s="11">
        <f t="shared" si="86"/>
        <v>72.099999999999994</v>
      </c>
      <c r="R941" t="str">
        <f t="shared" si="89"/>
        <v>loss</v>
      </c>
    </row>
    <row r="942" spans="1:18" ht="15.75" customHeight="1" x14ac:dyDescent="0.4">
      <c r="A942" s="1" t="s">
        <v>1874</v>
      </c>
      <c r="B942" s="2">
        <v>45481</v>
      </c>
      <c r="C942" s="2">
        <v>45486</v>
      </c>
      <c r="D942" s="2" t="str">
        <f t="shared" si="87"/>
        <v>2024</v>
      </c>
      <c r="E942" s="2" t="str">
        <f t="shared" si="84"/>
        <v>July</v>
      </c>
      <c r="F942" s="2" t="str">
        <f t="shared" si="88"/>
        <v>Q3</v>
      </c>
      <c r="G942" s="13">
        <f t="shared" si="85"/>
        <v>5</v>
      </c>
      <c r="H942" s="12" t="s">
        <v>23</v>
      </c>
      <c r="I942" s="1" t="s">
        <v>50</v>
      </c>
      <c r="J942" s="1" t="s">
        <v>14</v>
      </c>
      <c r="K942" s="1" t="s">
        <v>54</v>
      </c>
      <c r="L942" s="1" t="s">
        <v>1875</v>
      </c>
      <c r="M942" s="10">
        <v>384.21</v>
      </c>
      <c r="N942" s="8">
        <v>10</v>
      </c>
      <c r="O942" s="6">
        <v>0.16</v>
      </c>
      <c r="P942" s="10">
        <v>293.14</v>
      </c>
      <c r="Q942" s="11">
        <f t="shared" si="86"/>
        <v>91.07</v>
      </c>
      <c r="R942" t="str">
        <f t="shared" si="89"/>
        <v>profit</v>
      </c>
    </row>
    <row r="943" spans="1:18" ht="15.75" customHeight="1" x14ac:dyDescent="0.4">
      <c r="A943" s="1" t="s">
        <v>1876</v>
      </c>
      <c r="B943" s="2">
        <v>45038</v>
      </c>
      <c r="C943" s="2">
        <v>45042</v>
      </c>
      <c r="D943" s="2" t="str">
        <f t="shared" si="87"/>
        <v>2023</v>
      </c>
      <c r="E943" s="2" t="str">
        <f t="shared" si="84"/>
        <v>April</v>
      </c>
      <c r="F943" s="2" t="str">
        <f t="shared" si="88"/>
        <v>Q2</v>
      </c>
      <c r="G943" s="13">
        <f t="shared" si="85"/>
        <v>4</v>
      </c>
      <c r="H943" s="12" t="s">
        <v>23</v>
      </c>
      <c r="I943" s="1" t="s">
        <v>59</v>
      </c>
      <c r="J943" s="1" t="s">
        <v>25</v>
      </c>
      <c r="K943" s="1" t="s">
        <v>47</v>
      </c>
      <c r="L943" s="1" t="s">
        <v>1877</v>
      </c>
      <c r="M943" s="10">
        <v>472.42</v>
      </c>
      <c r="N943" s="8">
        <v>5</v>
      </c>
      <c r="O943" s="6">
        <v>0.21</v>
      </c>
      <c r="P943" s="10">
        <v>337.24</v>
      </c>
      <c r="Q943" s="11">
        <f t="shared" si="86"/>
        <v>135.18</v>
      </c>
      <c r="R943" t="str">
        <f t="shared" si="89"/>
        <v>profit</v>
      </c>
    </row>
    <row r="944" spans="1:18" ht="15.75" customHeight="1" x14ac:dyDescent="0.4">
      <c r="A944" s="1" t="s">
        <v>1878</v>
      </c>
      <c r="B944" s="2">
        <v>45224</v>
      </c>
      <c r="C944" s="2">
        <v>45229</v>
      </c>
      <c r="D944" s="2" t="str">
        <f t="shared" si="87"/>
        <v>2023</v>
      </c>
      <c r="E944" s="2" t="str">
        <f t="shared" si="84"/>
        <v>October</v>
      </c>
      <c r="F944" s="2" t="str">
        <f t="shared" si="88"/>
        <v>Q4</v>
      </c>
      <c r="G944" s="13">
        <f t="shared" si="85"/>
        <v>5</v>
      </c>
      <c r="H944" s="12" t="s">
        <v>23</v>
      </c>
      <c r="I944" s="1" t="s">
        <v>29</v>
      </c>
      <c r="J944" s="1" t="s">
        <v>25</v>
      </c>
      <c r="K944" s="1" t="s">
        <v>47</v>
      </c>
      <c r="L944" s="1" t="s">
        <v>1879</v>
      </c>
      <c r="M944" s="10">
        <v>713.41</v>
      </c>
      <c r="N944" s="8">
        <v>2</v>
      </c>
      <c r="O944" s="6">
        <v>0.2</v>
      </c>
      <c r="P944" s="10">
        <v>548.79</v>
      </c>
      <c r="Q944" s="11">
        <f t="shared" si="86"/>
        <v>164.62</v>
      </c>
      <c r="R944" t="str">
        <f t="shared" si="89"/>
        <v>profit</v>
      </c>
    </row>
    <row r="945" spans="1:18" ht="15.75" customHeight="1" x14ac:dyDescent="0.4">
      <c r="A945" s="1" t="s">
        <v>1880</v>
      </c>
      <c r="B945" s="2">
        <v>45093</v>
      </c>
      <c r="C945" s="2">
        <v>45095</v>
      </c>
      <c r="D945" s="2" t="str">
        <f t="shared" si="87"/>
        <v>2023</v>
      </c>
      <c r="E945" s="2" t="str">
        <f t="shared" si="84"/>
        <v>June</v>
      </c>
      <c r="F945" s="2" t="str">
        <f t="shared" si="88"/>
        <v>Q3</v>
      </c>
      <c r="G945" s="13">
        <f t="shared" si="85"/>
        <v>2</v>
      </c>
      <c r="H945" s="12" t="s">
        <v>42</v>
      </c>
      <c r="I945" s="1" t="s">
        <v>53</v>
      </c>
      <c r="J945" s="1" t="s">
        <v>14</v>
      </c>
      <c r="K945" s="1" t="s">
        <v>54</v>
      </c>
      <c r="L945" s="1" t="s">
        <v>1881</v>
      </c>
      <c r="M945" s="10">
        <v>479.43</v>
      </c>
      <c r="N945" s="8">
        <v>4</v>
      </c>
      <c r="O945" s="6">
        <v>0.14000000000000001</v>
      </c>
      <c r="P945" s="10">
        <v>371.26</v>
      </c>
      <c r="Q945" s="11">
        <f t="shared" si="86"/>
        <v>108.17000000000002</v>
      </c>
      <c r="R945" t="str">
        <f t="shared" si="89"/>
        <v>profit</v>
      </c>
    </row>
    <row r="946" spans="1:18" ht="15.75" customHeight="1" x14ac:dyDescent="0.4">
      <c r="A946" s="1" t="s">
        <v>1882</v>
      </c>
      <c r="B946" s="2">
        <v>45548</v>
      </c>
      <c r="C946" s="2">
        <v>45549</v>
      </c>
      <c r="D946" s="2" t="str">
        <f t="shared" si="87"/>
        <v>2024</v>
      </c>
      <c r="E946" s="2" t="str">
        <f t="shared" si="84"/>
        <v>September</v>
      </c>
      <c r="F946" s="2" t="str">
        <f t="shared" si="88"/>
        <v>Q4</v>
      </c>
      <c r="G946" s="13">
        <f t="shared" si="85"/>
        <v>1</v>
      </c>
      <c r="H946" s="12" t="s">
        <v>1986</v>
      </c>
      <c r="I946" s="1" t="s">
        <v>50</v>
      </c>
      <c r="J946" s="1" t="s">
        <v>14</v>
      </c>
      <c r="K946" s="1" t="s">
        <v>30</v>
      </c>
      <c r="L946" s="1" t="s">
        <v>1883</v>
      </c>
      <c r="M946" s="10">
        <v>50.18</v>
      </c>
      <c r="N946" s="8">
        <v>2</v>
      </c>
      <c r="O946" s="6">
        <v>0.03</v>
      </c>
      <c r="P946" s="10">
        <v>14.42</v>
      </c>
      <c r="Q946" s="11">
        <f t="shared" si="86"/>
        <v>35.76</v>
      </c>
      <c r="R946" t="str">
        <f t="shared" si="89"/>
        <v>profit</v>
      </c>
    </row>
    <row r="947" spans="1:18" ht="15.75" customHeight="1" x14ac:dyDescent="0.4">
      <c r="A947" s="1" t="s">
        <v>1884</v>
      </c>
      <c r="B947" s="2">
        <v>45307</v>
      </c>
      <c r="C947" s="2">
        <v>45310</v>
      </c>
      <c r="D947" s="2" t="str">
        <f t="shared" si="87"/>
        <v>2024</v>
      </c>
      <c r="E947" s="2" t="str">
        <f t="shared" si="84"/>
        <v>January</v>
      </c>
      <c r="F947" s="2" t="str">
        <f t="shared" si="88"/>
        <v>Q1</v>
      </c>
      <c r="G947" s="13">
        <f t="shared" si="85"/>
        <v>3</v>
      </c>
      <c r="H947" s="12" t="s">
        <v>42</v>
      </c>
      <c r="I947" s="1" t="s">
        <v>24</v>
      </c>
      <c r="J947" s="1" t="s">
        <v>25</v>
      </c>
      <c r="K947" s="1" t="s">
        <v>47</v>
      </c>
      <c r="L947" s="1" t="s">
        <v>522</v>
      </c>
      <c r="M947" s="10">
        <v>534.69000000000005</v>
      </c>
      <c r="N947" s="8">
        <v>6</v>
      </c>
      <c r="O947" s="6">
        <v>0.22</v>
      </c>
      <c r="P947" s="10">
        <v>394.87</v>
      </c>
      <c r="Q947" s="11">
        <f t="shared" si="86"/>
        <v>139.82000000000005</v>
      </c>
      <c r="R947" t="str">
        <f t="shared" si="89"/>
        <v>profit</v>
      </c>
    </row>
    <row r="948" spans="1:18" ht="15.75" customHeight="1" x14ac:dyDescent="0.4">
      <c r="A948" s="1" t="s">
        <v>1885</v>
      </c>
      <c r="B948" s="2">
        <v>45589</v>
      </c>
      <c r="C948" s="2">
        <v>45591</v>
      </c>
      <c r="D948" s="2" t="str">
        <f t="shared" si="87"/>
        <v>2024</v>
      </c>
      <c r="E948" s="2" t="str">
        <f t="shared" si="84"/>
        <v>October</v>
      </c>
      <c r="F948" s="2" t="str">
        <f t="shared" si="88"/>
        <v>Q4</v>
      </c>
      <c r="G948" s="13">
        <f t="shared" si="85"/>
        <v>2</v>
      </c>
      <c r="H948" s="12" t="s">
        <v>42</v>
      </c>
      <c r="I948" s="1" t="s">
        <v>29</v>
      </c>
      <c r="J948" s="1" t="s">
        <v>14</v>
      </c>
      <c r="K948" s="1" t="s">
        <v>54</v>
      </c>
      <c r="L948" s="1" t="s">
        <v>1886</v>
      </c>
      <c r="M948" s="10">
        <v>599.29999999999995</v>
      </c>
      <c r="N948" s="8">
        <v>4</v>
      </c>
      <c r="O948" s="6">
        <v>0.45</v>
      </c>
      <c r="P948" s="10">
        <v>285.77999999999997</v>
      </c>
      <c r="Q948" s="11">
        <f t="shared" si="86"/>
        <v>313.52</v>
      </c>
      <c r="R948" t="str">
        <f t="shared" si="89"/>
        <v>profit</v>
      </c>
    </row>
    <row r="949" spans="1:18" ht="15.75" customHeight="1" x14ac:dyDescent="0.4">
      <c r="A949" s="1" t="s">
        <v>1887</v>
      </c>
      <c r="B949" s="2">
        <v>45380</v>
      </c>
      <c r="C949" s="2">
        <v>45385</v>
      </c>
      <c r="D949" s="2" t="str">
        <f t="shared" si="87"/>
        <v>2024</v>
      </c>
      <c r="E949" s="2" t="str">
        <f t="shared" si="84"/>
        <v>April</v>
      </c>
      <c r="F949" s="2" t="str">
        <f t="shared" si="88"/>
        <v>Q2</v>
      </c>
      <c r="G949" s="13">
        <f t="shared" si="85"/>
        <v>5</v>
      </c>
      <c r="H949" s="12" t="s">
        <v>1987</v>
      </c>
      <c r="I949" s="1" t="s">
        <v>50</v>
      </c>
      <c r="J949" s="1" t="s">
        <v>25</v>
      </c>
      <c r="K949" s="1" t="s">
        <v>43</v>
      </c>
      <c r="L949" s="1" t="s">
        <v>1888</v>
      </c>
      <c r="M949" s="10">
        <v>378.58</v>
      </c>
      <c r="N949" s="8">
        <v>4</v>
      </c>
      <c r="O949" s="6">
        <v>0.32</v>
      </c>
      <c r="P949" s="10">
        <v>231.93</v>
      </c>
      <c r="Q949" s="11">
        <f t="shared" si="86"/>
        <v>146.64999999999998</v>
      </c>
      <c r="R949" t="str">
        <f t="shared" si="89"/>
        <v>profit</v>
      </c>
    </row>
    <row r="950" spans="1:18" ht="15.75" customHeight="1" x14ac:dyDescent="0.4">
      <c r="A950" s="1" t="s">
        <v>1889</v>
      </c>
      <c r="B950" s="2">
        <v>45586</v>
      </c>
      <c r="C950" s="2">
        <v>45589</v>
      </c>
      <c r="D950" s="2" t="str">
        <f t="shared" si="87"/>
        <v>2024</v>
      </c>
      <c r="E950" s="2" t="str">
        <f t="shared" si="84"/>
        <v>October</v>
      </c>
      <c r="F950" s="2" t="str">
        <f t="shared" si="88"/>
        <v>Q4</v>
      </c>
      <c r="G950" s="13">
        <f t="shared" si="85"/>
        <v>3</v>
      </c>
      <c r="H950" s="12" t="s">
        <v>1987</v>
      </c>
      <c r="I950" s="1" t="s">
        <v>13</v>
      </c>
      <c r="J950" s="1" t="s">
        <v>25</v>
      </c>
      <c r="K950" s="1" t="s">
        <v>47</v>
      </c>
      <c r="L950" s="1" t="s">
        <v>1890</v>
      </c>
      <c r="M950" s="10">
        <v>979.39</v>
      </c>
      <c r="N950" s="8">
        <v>10</v>
      </c>
      <c r="O950" s="6">
        <v>0.15</v>
      </c>
      <c r="P950" s="10">
        <v>803.72</v>
      </c>
      <c r="Q950" s="11">
        <f t="shared" si="86"/>
        <v>175.66999999999996</v>
      </c>
      <c r="R950" t="str">
        <f t="shared" si="89"/>
        <v>profit</v>
      </c>
    </row>
    <row r="951" spans="1:18" ht="15.75" customHeight="1" x14ac:dyDescent="0.4">
      <c r="A951" s="1" t="s">
        <v>1891</v>
      </c>
      <c r="B951" s="2">
        <v>45451</v>
      </c>
      <c r="C951" s="2">
        <v>45456</v>
      </c>
      <c r="D951" s="2" t="str">
        <f t="shared" si="87"/>
        <v>2024</v>
      </c>
      <c r="E951" s="2" t="str">
        <f t="shared" si="84"/>
        <v>June</v>
      </c>
      <c r="F951" s="2" t="str">
        <f t="shared" si="88"/>
        <v>Q3</v>
      </c>
      <c r="G951" s="13">
        <f t="shared" si="85"/>
        <v>5</v>
      </c>
      <c r="H951" s="12" t="s">
        <v>1986</v>
      </c>
      <c r="I951" s="1" t="s">
        <v>18</v>
      </c>
      <c r="J951" s="1" t="s">
        <v>14</v>
      </c>
      <c r="K951" s="1" t="s">
        <v>30</v>
      </c>
      <c r="L951" s="1" t="s">
        <v>1892</v>
      </c>
      <c r="M951" s="10">
        <v>933.12</v>
      </c>
      <c r="N951" s="8">
        <v>1</v>
      </c>
      <c r="O951" s="6">
        <v>0.09</v>
      </c>
      <c r="P951" s="10">
        <v>809.26</v>
      </c>
      <c r="Q951" s="11">
        <f t="shared" si="86"/>
        <v>123.86000000000001</v>
      </c>
      <c r="R951" t="str">
        <f t="shared" si="89"/>
        <v>profit</v>
      </c>
    </row>
    <row r="952" spans="1:18" ht="15.75" customHeight="1" x14ac:dyDescent="0.4">
      <c r="A952" s="1" t="s">
        <v>1893</v>
      </c>
      <c r="B952" s="2">
        <v>45100</v>
      </c>
      <c r="C952" s="2">
        <v>45103</v>
      </c>
      <c r="D952" s="2" t="str">
        <f t="shared" si="87"/>
        <v>2023</v>
      </c>
      <c r="E952" s="2" t="str">
        <f t="shared" si="84"/>
        <v>June</v>
      </c>
      <c r="F952" s="2" t="str">
        <f t="shared" si="88"/>
        <v>Q3</v>
      </c>
      <c r="G952" s="13">
        <f t="shared" si="85"/>
        <v>3</v>
      </c>
      <c r="H952" s="12" t="s">
        <v>42</v>
      </c>
      <c r="I952" s="1" t="s">
        <v>50</v>
      </c>
      <c r="J952" s="1" t="s">
        <v>25</v>
      </c>
      <c r="K952" s="1" t="s">
        <v>26</v>
      </c>
      <c r="L952" s="1" t="s">
        <v>1894</v>
      </c>
      <c r="M952" s="10">
        <v>681.17</v>
      </c>
      <c r="N952" s="8">
        <v>8</v>
      </c>
      <c r="O952" s="6">
        <v>0.43</v>
      </c>
      <c r="P952" s="10">
        <v>360.51</v>
      </c>
      <c r="Q952" s="11">
        <f t="shared" si="86"/>
        <v>320.65999999999997</v>
      </c>
      <c r="R952" t="str">
        <f t="shared" si="89"/>
        <v>profit</v>
      </c>
    </row>
    <row r="953" spans="1:18" ht="15.75" customHeight="1" x14ac:dyDescent="0.4">
      <c r="A953" s="1" t="s">
        <v>1895</v>
      </c>
      <c r="B953" s="2">
        <v>45119</v>
      </c>
      <c r="C953" s="2">
        <v>45126</v>
      </c>
      <c r="D953" s="2" t="str">
        <f t="shared" si="87"/>
        <v>2023</v>
      </c>
      <c r="E953" s="2" t="str">
        <f t="shared" si="84"/>
        <v>July</v>
      </c>
      <c r="F953" s="2" t="str">
        <f t="shared" si="88"/>
        <v>Q3</v>
      </c>
      <c r="G953" s="13">
        <f t="shared" si="85"/>
        <v>7</v>
      </c>
      <c r="H953" s="12" t="s">
        <v>1987</v>
      </c>
      <c r="I953" s="1" t="s">
        <v>50</v>
      </c>
      <c r="J953" s="1" t="s">
        <v>25</v>
      </c>
      <c r="K953" s="1" t="s">
        <v>47</v>
      </c>
      <c r="L953" s="1" t="s">
        <v>1896</v>
      </c>
      <c r="M953" s="10">
        <v>668.57</v>
      </c>
      <c r="N953" s="8">
        <v>5</v>
      </c>
      <c r="O953" s="6">
        <v>0.12</v>
      </c>
      <c r="P953" s="10">
        <v>575.78</v>
      </c>
      <c r="Q953" s="11">
        <f t="shared" si="86"/>
        <v>92.790000000000077</v>
      </c>
      <c r="R953" t="str">
        <f t="shared" si="89"/>
        <v>profit</v>
      </c>
    </row>
    <row r="954" spans="1:18" ht="15.75" customHeight="1" x14ac:dyDescent="0.4">
      <c r="A954" s="1" t="s">
        <v>1897</v>
      </c>
      <c r="B954" s="2">
        <v>45093</v>
      </c>
      <c r="C954" s="2">
        <v>45094</v>
      </c>
      <c r="D954" s="2" t="str">
        <f t="shared" si="87"/>
        <v>2023</v>
      </c>
      <c r="E954" s="2" t="str">
        <f t="shared" si="84"/>
        <v>June</v>
      </c>
      <c r="F954" s="2" t="str">
        <f t="shared" si="88"/>
        <v>Q3</v>
      </c>
      <c r="G954" s="13">
        <f t="shared" si="85"/>
        <v>1</v>
      </c>
      <c r="H954" s="12" t="s">
        <v>23</v>
      </c>
      <c r="I954" s="1" t="s">
        <v>18</v>
      </c>
      <c r="J954" s="1" t="s">
        <v>14</v>
      </c>
      <c r="K954" s="1" t="s">
        <v>15</v>
      </c>
      <c r="L954" s="1" t="s">
        <v>1898</v>
      </c>
      <c r="M954" s="10">
        <v>91.17</v>
      </c>
      <c r="N954" s="8">
        <v>3</v>
      </c>
      <c r="O954" s="6">
        <v>0.31</v>
      </c>
      <c r="P954" s="10">
        <v>38.85</v>
      </c>
      <c r="Q954" s="11">
        <f t="shared" si="86"/>
        <v>52.32</v>
      </c>
      <c r="R954" t="str">
        <f t="shared" si="89"/>
        <v>profit</v>
      </c>
    </row>
    <row r="955" spans="1:18" ht="15.75" customHeight="1" x14ac:dyDescent="0.4">
      <c r="A955" s="1" t="s">
        <v>1899</v>
      </c>
      <c r="B955" s="2">
        <v>45389</v>
      </c>
      <c r="C955" s="2">
        <v>45397</v>
      </c>
      <c r="D955" s="2" t="str">
        <f t="shared" si="87"/>
        <v>2024</v>
      </c>
      <c r="E955" s="2" t="str">
        <f t="shared" si="84"/>
        <v>April</v>
      </c>
      <c r="F955" s="2" t="str">
        <f t="shared" si="88"/>
        <v>Q2</v>
      </c>
      <c r="G955" s="13">
        <f t="shared" si="85"/>
        <v>8</v>
      </c>
      <c r="H955" s="12" t="s">
        <v>1986</v>
      </c>
      <c r="I955" s="1" t="s">
        <v>29</v>
      </c>
      <c r="J955" s="1" t="s">
        <v>14</v>
      </c>
      <c r="K955" s="1" t="s">
        <v>54</v>
      </c>
      <c r="L955" s="1" t="s">
        <v>1900</v>
      </c>
      <c r="M955" s="10">
        <v>603.69000000000005</v>
      </c>
      <c r="N955" s="8">
        <v>10</v>
      </c>
      <c r="O955" s="6">
        <v>0.28000000000000003</v>
      </c>
      <c r="P955" s="10">
        <v>405.21</v>
      </c>
      <c r="Q955" s="11">
        <f t="shared" si="86"/>
        <v>198.48000000000008</v>
      </c>
      <c r="R955" t="str">
        <f t="shared" si="89"/>
        <v>profit</v>
      </c>
    </row>
    <row r="956" spans="1:18" ht="15.75" customHeight="1" x14ac:dyDescent="0.4">
      <c r="A956" s="1" t="s">
        <v>1901</v>
      </c>
      <c r="B956" s="2">
        <v>45629</v>
      </c>
      <c r="C956" s="2">
        <v>45638</v>
      </c>
      <c r="D956" s="2" t="str">
        <f t="shared" si="87"/>
        <v>2024</v>
      </c>
      <c r="E956" s="2" t="str">
        <f t="shared" si="84"/>
        <v>December</v>
      </c>
      <c r="F956" s="2" t="str">
        <f t="shared" si="88"/>
        <v>Q4</v>
      </c>
      <c r="G956" s="13">
        <f t="shared" si="85"/>
        <v>9</v>
      </c>
      <c r="H956" s="12" t="s">
        <v>1987</v>
      </c>
      <c r="I956" s="1" t="s">
        <v>24</v>
      </c>
      <c r="J956" s="1" t="s">
        <v>14</v>
      </c>
      <c r="K956" s="1" t="s">
        <v>15</v>
      </c>
      <c r="L956" s="1" t="s">
        <v>1902</v>
      </c>
      <c r="M956" s="10">
        <v>593.54</v>
      </c>
      <c r="N956" s="8">
        <v>8</v>
      </c>
      <c r="O956" s="6">
        <v>0.36</v>
      </c>
      <c r="P956" s="10">
        <v>332.44</v>
      </c>
      <c r="Q956" s="11">
        <f t="shared" si="86"/>
        <v>261.09999999999997</v>
      </c>
      <c r="R956" t="str">
        <f t="shared" si="89"/>
        <v>profit</v>
      </c>
    </row>
    <row r="957" spans="1:18" ht="15.75" customHeight="1" x14ac:dyDescent="0.4">
      <c r="A957" s="1" t="s">
        <v>1903</v>
      </c>
      <c r="B957" s="2">
        <v>45146</v>
      </c>
      <c r="C957" s="2">
        <v>45151</v>
      </c>
      <c r="D957" s="2" t="str">
        <f t="shared" si="87"/>
        <v>2023</v>
      </c>
      <c r="E957" s="2" t="str">
        <f t="shared" si="84"/>
        <v>August</v>
      </c>
      <c r="F957" s="2" t="str">
        <f t="shared" si="88"/>
        <v>Q3</v>
      </c>
      <c r="G957" s="13">
        <f t="shared" si="85"/>
        <v>5</v>
      </c>
      <c r="H957" s="12" t="s">
        <v>23</v>
      </c>
      <c r="I957" s="1" t="s">
        <v>50</v>
      </c>
      <c r="J957" s="1" t="s">
        <v>25</v>
      </c>
      <c r="K957" s="1" t="s">
        <v>26</v>
      </c>
      <c r="L957" s="1" t="s">
        <v>1904</v>
      </c>
      <c r="M957" s="10">
        <v>989.22</v>
      </c>
      <c r="N957" s="8">
        <v>9</v>
      </c>
      <c r="O957" s="6">
        <v>0.25</v>
      </c>
      <c r="P957" s="10">
        <v>729.51</v>
      </c>
      <c r="Q957" s="11">
        <f t="shared" si="86"/>
        <v>259.71000000000004</v>
      </c>
      <c r="R957" t="str">
        <f t="shared" si="89"/>
        <v>profit</v>
      </c>
    </row>
    <row r="958" spans="1:18" ht="15.75" customHeight="1" x14ac:dyDescent="0.4">
      <c r="A958" s="1" t="s">
        <v>1905</v>
      </c>
      <c r="B958" s="2">
        <v>45440</v>
      </c>
      <c r="C958" s="2">
        <v>45447</v>
      </c>
      <c r="D958" s="2" t="str">
        <f t="shared" si="87"/>
        <v>2024</v>
      </c>
      <c r="E958" s="2" t="str">
        <f t="shared" si="84"/>
        <v>June</v>
      </c>
      <c r="F958" s="2" t="str">
        <f t="shared" si="88"/>
        <v>Q3</v>
      </c>
      <c r="G958" s="13">
        <f t="shared" si="85"/>
        <v>7</v>
      </c>
      <c r="H958" s="12" t="s">
        <v>42</v>
      </c>
      <c r="I958" s="1" t="s">
        <v>13</v>
      </c>
      <c r="J958" s="1" t="s">
        <v>25</v>
      </c>
      <c r="K958" s="1" t="s">
        <v>47</v>
      </c>
      <c r="L958" s="1" t="s">
        <v>1906</v>
      </c>
      <c r="M958" s="10">
        <v>780.86</v>
      </c>
      <c r="N958" s="8">
        <v>2</v>
      </c>
      <c r="O958" s="6">
        <v>0.09</v>
      </c>
      <c r="P958" s="10">
        <v>692.08</v>
      </c>
      <c r="Q958" s="11">
        <f t="shared" si="86"/>
        <v>88.779999999999973</v>
      </c>
      <c r="R958" t="str">
        <f t="shared" si="89"/>
        <v>profit</v>
      </c>
    </row>
    <row r="959" spans="1:18" ht="15.75" customHeight="1" x14ac:dyDescent="0.4">
      <c r="A959" s="1" t="s">
        <v>1907</v>
      </c>
      <c r="B959" s="2">
        <v>44918</v>
      </c>
      <c r="C959" s="2">
        <v>44926</v>
      </c>
      <c r="D959" s="2" t="str">
        <f t="shared" si="87"/>
        <v>2022</v>
      </c>
      <c r="E959" s="2" t="str">
        <f t="shared" si="84"/>
        <v>December</v>
      </c>
      <c r="F959" s="2" t="str">
        <f t="shared" si="88"/>
        <v>Q4</v>
      </c>
      <c r="G959" s="13">
        <f t="shared" si="85"/>
        <v>8</v>
      </c>
      <c r="H959" s="12" t="s">
        <v>1986</v>
      </c>
      <c r="I959" s="1" t="s">
        <v>46</v>
      </c>
      <c r="J959" s="1" t="s">
        <v>14</v>
      </c>
      <c r="K959" s="1" t="s">
        <v>30</v>
      </c>
      <c r="L959" s="1" t="s">
        <v>1908</v>
      </c>
      <c r="M959" s="10">
        <v>729.49</v>
      </c>
      <c r="N959" s="8">
        <v>9</v>
      </c>
      <c r="O959" s="6">
        <v>0.31</v>
      </c>
      <c r="P959" s="10">
        <v>466.17</v>
      </c>
      <c r="Q959" s="11">
        <f t="shared" si="86"/>
        <v>263.32</v>
      </c>
      <c r="R959" t="str">
        <f t="shared" si="89"/>
        <v>profit</v>
      </c>
    </row>
    <row r="960" spans="1:18" ht="15.75" customHeight="1" x14ac:dyDescent="0.4">
      <c r="A960" s="1" t="s">
        <v>1909</v>
      </c>
      <c r="B960" s="2">
        <v>45474</v>
      </c>
      <c r="C960" s="2">
        <v>45480</v>
      </c>
      <c r="D960" s="2" t="str">
        <f t="shared" si="87"/>
        <v>2024</v>
      </c>
      <c r="E960" s="2" t="str">
        <f t="shared" si="84"/>
        <v>July</v>
      </c>
      <c r="F960" s="2" t="str">
        <f t="shared" si="88"/>
        <v>Q3</v>
      </c>
      <c r="G960" s="13">
        <f t="shared" si="85"/>
        <v>6</v>
      </c>
      <c r="H960" s="12" t="s">
        <v>1986</v>
      </c>
      <c r="I960" s="1" t="s">
        <v>29</v>
      </c>
      <c r="J960" s="1" t="s">
        <v>19</v>
      </c>
      <c r="K960" s="1" t="s">
        <v>20</v>
      </c>
      <c r="L960" s="1" t="s">
        <v>1910</v>
      </c>
      <c r="M960" s="10">
        <v>901.13</v>
      </c>
      <c r="N960" s="8">
        <v>5</v>
      </c>
      <c r="O960" s="6">
        <v>0.4</v>
      </c>
      <c r="P960" s="10">
        <v>511.28</v>
      </c>
      <c r="Q960" s="11">
        <f t="shared" si="86"/>
        <v>389.85</v>
      </c>
      <c r="R960" t="str">
        <f t="shared" si="89"/>
        <v>profit</v>
      </c>
    </row>
    <row r="961" spans="1:18" ht="15.75" customHeight="1" x14ac:dyDescent="0.4">
      <c r="A961" s="1" t="s">
        <v>1911</v>
      </c>
      <c r="B961" s="2">
        <v>45501</v>
      </c>
      <c r="C961" s="2">
        <v>45507</v>
      </c>
      <c r="D961" s="2" t="str">
        <f t="shared" si="87"/>
        <v>2024</v>
      </c>
      <c r="E961" s="2" t="str">
        <f t="shared" si="84"/>
        <v>August</v>
      </c>
      <c r="F961" s="2" t="str">
        <f t="shared" si="88"/>
        <v>Q3</v>
      </c>
      <c r="G961" s="13">
        <f t="shared" si="85"/>
        <v>6</v>
      </c>
      <c r="H961" s="12" t="s">
        <v>1986</v>
      </c>
      <c r="I961" s="1" t="s">
        <v>46</v>
      </c>
      <c r="J961" s="1" t="s">
        <v>19</v>
      </c>
      <c r="K961" s="1" t="s">
        <v>35</v>
      </c>
      <c r="L961" s="1" t="s">
        <v>1912</v>
      </c>
      <c r="M961" s="10">
        <v>686.14</v>
      </c>
      <c r="N961" s="8">
        <v>6</v>
      </c>
      <c r="O961" s="6">
        <v>0.14000000000000001</v>
      </c>
      <c r="P961" s="10">
        <v>572.20000000000005</v>
      </c>
      <c r="Q961" s="11">
        <f t="shared" si="86"/>
        <v>113.93999999999994</v>
      </c>
      <c r="R961" t="str">
        <f t="shared" si="89"/>
        <v>profit</v>
      </c>
    </row>
    <row r="962" spans="1:18" ht="15.75" customHeight="1" x14ac:dyDescent="0.4">
      <c r="A962" s="1" t="s">
        <v>1913</v>
      </c>
      <c r="B962" s="2">
        <v>45196</v>
      </c>
      <c r="C962" s="2">
        <v>45202</v>
      </c>
      <c r="D962" s="2" t="str">
        <f t="shared" si="87"/>
        <v>2023</v>
      </c>
      <c r="E962" s="2" t="str">
        <f t="shared" ref="E962:E1011" si="90">TEXT(C962, "MMMM")</f>
        <v>October</v>
      </c>
      <c r="F962" s="2" t="str">
        <f t="shared" si="88"/>
        <v>Q4</v>
      </c>
      <c r="G962" s="13">
        <f t="shared" ref="G962:G1011" si="91">DATEDIF(B962,C962, "D")</f>
        <v>6</v>
      </c>
      <c r="H962" s="12" t="s">
        <v>23</v>
      </c>
      <c r="I962" s="1" t="s">
        <v>53</v>
      </c>
      <c r="J962" s="1" t="s">
        <v>14</v>
      </c>
      <c r="K962" s="1" t="s">
        <v>54</v>
      </c>
      <c r="L962" s="1" t="s">
        <v>1914</v>
      </c>
      <c r="M962" s="10">
        <v>627.05999999999995</v>
      </c>
      <c r="N962" s="8">
        <v>6</v>
      </c>
      <c r="O962" s="6">
        <v>0.32</v>
      </c>
      <c r="P962" s="10">
        <v>390.35</v>
      </c>
      <c r="Q962" s="11">
        <f t="shared" ref="Q962:Q1011" si="92">M962 - P962</f>
        <v>236.70999999999992</v>
      </c>
      <c r="R962" t="str">
        <f t="shared" si="89"/>
        <v>profit</v>
      </c>
    </row>
    <row r="963" spans="1:18" ht="15.75" customHeight="1" x14ac:dyDescent="0.4">
      <c r="A963" s="1" t="s">
        <v>1915</v>
      </c>
      <c r="B963" s="2">
        <v>45244</v>
      </c>
      <c r="C963" s="2">
        <v>45253</v>
      </c>
      <c r="D963" s="2" t="str">
        <f t="shared" ref="D963:D1011" si="93">IF(B963="","",TEXT(B963,"YYYY"))</f>
        <v>2023</v>
      </c>
      <c r="E963" s="2" t="str">
        <f t="shared" si="90"/>
        <v>November</v>
      </c>
      <c r="F963" s="2" t="str">
        <f t="shared" ref="F963:F1011" si="94">IF(MONTH(C963)&lt;3,"Q1",IF(MONTH(C963)&lt;6,"Q2",IF(MONTH(C963)&lt;9,"Q3","Q4")))</f>
        <v>Q4</v>
      </c>
      <c r="G963" s="13">
        <f t="shared" si="91"/>
        <v>9</v>
      </c>
      <c r="H963" s="12" t="s">
        <v>1987</v>
      </c>
      <c r="I963" s="1" t="s">
        <v>18</v>
      </c>
      <c r="J963" s="1" t="s">
        <v>14</v>
      </c>
      <c r="K963" s="1" t="s">
        <v>30</v>
      </c>
      <c r="L963" s="1" t="s">
        <v>1916</v>
      </c>
      <c r="M963" s="10">
        <v>179.52</v>
      </c>
      <c r="N963" s="8">
        <v>5</v>
      </c>
      <c r="O963" s="6">
        <v>0.01</v>
      </c>
      <c r="P963" s="10">
        <v>145.94</v>
      </c>
      <c r="Q963" s="11">
        <f t="shared" si="92"/>
        <v>33.580000000000013</v>
      </c>
      <c r="R963" t="str">
        <f t="shared" si="89"/>
        <v>profit</v>
      </c>
    </row>
    <row r="964" spans="1:18" ht="15.75" customHeight="1" x14ac:dyDescent="0.4">
      <c r="A964" s="1" t="s">
        <v>1917</v>
      </c>
      <c r="B964" s="2">
        <v>45326</v>
      </c>
      <c r="C964" s="2">
        <v>45331</v>
      </c>
      <c r="D964" s="2" t="str">
        <f t="shared" si="93"/>
        <v>2024</v>
      </c>
      <c r="E964" s="2" t="str">
        <f t="shared" si="90"/>
        <v>February</v>
      </c>
      <c r="F964" s="2" t="str">
        <f t="shared" si="94"/>
        <v>Q1</v>
      </c>
      <c r="G964" s="13">
        <f t="shared" si="91"/>
        <v>5</v>
      </c>
      <c r="H964" s="12" t="s">
        <v>1986</v>
      </c>
      <c r="I964" s="1" t="s">
        <v>53</v>
      </c>
      <c r="J964" s="1" t="s">
        <v>19</v>
      </c>
      <c r="K964" s="1" t="s">
        <v>20</v>
      </c>
      <c r="L964" s="1" t="s">
        <v>1918</v>
      </c>
      <c r="M964" s="10">
        <v>883.19</v>
      </c>
      <c r="N964" s="8">
        <v>2</v>
      </c>
      <c r="O964" s="6">
        <v>0.18</v>
      </c>
      <c r="P964" s="10">
        <v>705.5</v>
      </c>
      <c r="Q964" s="11">
        <f t="shared" si="92"/>
        <v>177.69000000000005</v>
      </c>
      <c r="R964" t="str">
        <f t="shared" ref="R964:R1011" si="95">IF(P964&gt;0,"profit","loss")</f>
        <v>profit</v>
      </c>
    </row>
    <row r="965" spans="1:18" ht="15.75" customHeight="1" x14ac:dyDescent="0.4">
      <c r="A965" s="1" t="s">
        <v>1919</v>
      </c>
      <c r="C965" s="2">
        <v>45210</v>
      </c>
      <c r="D965" s="2" t="str">
        <f t="shared" si="93"/>
        <v/>
      </c>
      <c r="E965" s="2" t="str">
        <f t="shared" si="90"/>
        <v>October</v>
      </c>
      <c r="F965" s="2" t="str">
        <f t="shared" si="94"/>
        <v>Q4</v>
      </c>
      <c r="G965" s="13">
        <f t="shared" si="91"/>
        <v>45210</v>
      </c>
      <c r="H965" s="12" t="s">
        <v>1988</v>
      </c>
      <c r="I965" s="1" t="s">
        <v>24</v>
      </c>
      <c r="J965" s="1" t="s">
        <v>14</v>
      </c>
      <c r="K965" s="1" t="s">
        <v>15</v>
      </c>
      <c r="L965" s="1" t="s">
        <v>1920</v>
      </c>
      <c r="M965" s="11" t="s">
        <v>1989</v>
      </c>
      <c r="N965" s="8">
        <v>3</v>
      </c>
      <c r="O965" s="6">
        <v>0.41</v>
      </c>
      <c r="P965" s="10">
        <v>496.95</v>
      </c>
      <c r="Q965" s="11" t="e">
        <f t="shared" si="92"/>
        <v>#VALUE!</v>
      </c>
      <c r="R965" t="str">
        <f t="shared" si="95"/>
        <v>profit</v>
      </c>
    </row>
    <row r="966" spans="1:18" ht="15.75" customHeight="1" x14ac:dyDescent="0.4">
      <c r="A966" s="1" t="s">
        <v>1921</v>
      </c>
      <c r="C966" s="2">
        <v>45273</v>
      </c>
      <c r="D966" s="2" t="str">
        <f t="shared" si="93"/>
        <v/>
      </c>
      <c r="E966" s="2" t="str">
        <f t="shared" si="90"/>
        <v>December</v>
      </c>
      <c r="F966" s="2" t="str">
        <f t="shared" si="94"/>
        <v>Q4</v>
      </c>
      <c r="G966" s="13">
        <f t="shared" si="91"/>
        <v>45273</v>
      </c>
      <c r="H966" s="12" t="s">
        <v>1988</v>
      </c>
      <c r="I966" s="1" t="s">
        <v>53</v>
      </c>
      <c r="J966" s="1" t="s">
        <v>19</v>
      </c>
      <c r="K966" s="1" t="s">
        <v>35</v>
      </c>
      <c r="L966" s="1" t="s">
        <v>1055</v>
      </c>
      <c r="M966" s="11" t="s">
        <v>1989</v>
      </c>
      <c r="N966" s="8">
        <v>1</v>
      </c>
      <c r="O966" s="6">
        <v>0.14000000000000001</v>
      </c>
      <c r="P966" s="10">
        <v>725.49</v>
      </c>
      <c r="Q966" s="11" t="e">
        <f t="shared" si="92"/>
        <v>#VALUE!</v>
      </c>
      <c r="R966" t="str">
        <f t="shared" si="95"/>
        <v>profit</v>
      </c>
    </row>
    <row r="967" spans="1:18" ht="15.75" customHeight="1" x14ac:dyDescent="0.4">
      <c r="A967" s="1" t="s">
        <v>1922</v>
      </c>
      <c r="B967" s="2">
        <v>45149</v>
      </c>
      <c r="C967" s="2">
        <v>45157</v>
      </c>
      <c r="D967" s="2" t="str">
        <f t="shared" si="93"/>
        <v>2023</v>
      </c>
      <c r="E967" s="2" t="str">
        <f t="shared" si="90"/>
        <v>August</v>
      </c>
      <c r="F967" s="2" t="str">
        <f t="shared" si="94"/>
        <v>Q3</v>
      </c>
      <c r="G967" s="13">
        <f t="shared" si="91"/>
        <v>8</v>
      </c>
      <c r="H967" s="12" t="s">
        <v>23</v>
      </c>
      <c r="I967" s="1" t="s">
        <v>46</v>
      </c>
      <c r="J967" s="1" t="s">
        <v>19</v>
      </c>
      <c r="K967" s="1" t="s">
        <v>92</v>
      </c>
      <c r="L967" s="1" t="s">
        <v>1923</v>
      </c>
      <c r="M967" s="10">
        <v>39.58</v>
      </c>
      <c r="N967" s="8">
        <v>10</v>
      </c>
      <c r="O967" s="6">
        <v>0.03</v>
      </c>
      <c r="P967" s="10">
        <v>-8.23</v>
      </c>
      <c r="Q967" s="11">
        <f t="shared" si="92"/>
        <v>47.81</v>
      </c>
      <c r="R967" t="str">
        <f t="shared" si="95"/>
        <v>loss</v>
      </c>
    </row>
    <row r="968" spans="1:18" ht="15.75" customHeight="1" x14ac:dyDescent="0.4">
      <c r="A968" s="1" t="s">
        <v>1924</v>
      </c>
      <c r="B968" s="2">
        <v>45231</v>
      </c>
      <c r="C968" s="2">
        <v>45236</v>
      </c>
      <c r="D968" s="2" t="str">
        <f t="shared" si="93"/>
        <v>2023</v>
      </c>
      <c r="E968" s="2" t="str">
        <f t="shared" si="90"/>
        <v>November</v>
      </c>
      <c r="F968" s="2" t="str">
        <f t="shared" si="94"/>
        <v>Q4</v>
      </c>
      <c r="G968" s="13">
        <f t="shared" si="91"/>
        <v>5</v>
      </c>
      <c r="H968" s="12" t="s">
        <v>42</v>
      </c>
      <c r="I968" s="1" t="s">
        <v>29</v>
      </c>
      <c r="J968" s="1" t="s">
        <v>19</v>
      </c>
      <c r="K968" s="1" t="s">
        <v>35</v>
      </c>
      <c r="L968" s="1" t="s">
        <v>1925</v>
      </c>
      <c r="M968" s="10">
        <v>204.25</v>
      </c>
      <c r="N968" s="8">
        <v>9</v>
      </c>
      <c r="O968" s="6">
        <v>0.39</v>
      </c>
      <c r="P968" s="10">
        <v>74.790000000000006</v>
      </c>
      <c r="Q968" s="11">
        <f t="shared" si="92"/>
        <v>129.45999999999998</v>
      </c>
      <c r="R968" t="str">
        <f t="shared" si="95"/>
        <v>profit</v>
      </c>
    </row>
    <row r="969" spans="1:18" ht="15.75" customHeight="1" x14ac:dyDescent="0.4">
      <c r="A969" s="1" t="s">
        <v>1926</v>
      </c>
      <c r="B969" s="2">
        <v>44911</v>
      </c>
      <c r="C969" s="2">
        <v>44914</v>
      </c>
      <c r="D969" s="2" t="str">
        <f t="shared" si="93"/>
        <v>2022</v>
      </c>
      <c r="E969" s="2" t="str">
        <f t="shared" si="90"/>
        <v>December</v>
      </c>
      <c r="F969" s="2" t="str">
        <f t="shared" si="94"/>
        <v>Q4</v>
      </c>
      <c r="G969" s="13">
        <f t="shared" si="91"/>
        <v>3</v>
      </c>
      <c r="H969" s="12" t="s">
        <v>23</v>
      </c>
      <c r="I969" s="1" t="s">
        <v>29</v>
      </c>
      <c r="J969" s="1" t="s">
        <v>25</v>
      </c>
      <c r="K969" s="1" t="s">
        <v>47</v>
      </c>
      <c r="L969" s="1" t="s">
        <v>1927</v>
      </c>
      <c r="M969" s="10">
        <v>981.28</v>
      </c>
      <c r="N969" s="8">
        <v>6</v>
      </c>
      <c r="O969" s="6">
        <v>0.16</v>
      </c>
      <c r="P969" s="10">
        <v>810.18</v>
      </c>
      <c r="Q969" s="11">
        <f t="shared" si="92"/>
        <v>171.10000000000002</v>
      </c>
      <c r="R969" t="str">
        <f t="shared" si="95"/>
        <v>profit</v>
      </c>
    </row>
    <row r="970" spans="1:18" ht="15.75" customHeight="1" x14ac:dyDescent="0.4">
      <c r="A970" s="1" t="s">
        <v>1928</v>
      </c>
      <c r="B970" s="2">
        <v>44906</v>
      </c>
      <c r="C970" s="2">
        <v>44906</v>
      </c>
      <c r="D970" s="2" t="str">
        <f t="shared" si="93"/>
        <v>2022</v>
      </c>
      <c r="E970" s="2" t="str">
        <f t="shared" si="90"/>
        <v>December</v>
      </c>
      <c r="F970" s="2" t="str">
        <f t="shared" si="94"/>
        <v>Q4</v>
      </c>
      <c r="G970" s="13">
        <f t="shared" si="91"/>
        <v>0</v>
      </c>
      <c r="H970" s="12" t="s">
        <v>42</v>
      </c>
      <c r="I970" s="1" t="s">
        <v>53</v>
      </c>
      <c r="J970" s="1" t="s">
        <v>19</v>
      </c>
      <c r="K970" s="1" t="s">
        <v>35</v>
      </c>
      <c r="L970" s="1" t="s">
        <v>1929</v>
      </c>
      <c r="M970" s="10">
        <v>486.5</v>
      </c>
      <c r="N970" s="8">
        <v>10</v>
      </c>
      <c r="O970" s="6">
        <v>0.04</v>
      </c>
      <c r="P970" s="10">
        <v>436.86</v>
      </c>
      <c r="Q970" s="11">
        <f t="shared" si="92"/>
        <v>49.639999999999986</v>
      </c>
      <c r="R970" t="str">
        <f t="shared" si="95"/>
        <v>profit</v>
      </c>
    </row>
    <row r="971" spans="1:18" ht="15.75" customHeight="1" x14ac:dyDescent="0.4">
      <c r="A971" s="1" t="s">
        <v>1930</v>
      </c>
      <c r="B971" s="2">
        <v>45053</v>
      </c>
      <c r="C971" s="2">
        <v>45054</v>
      </c>
      <c r="D971" s="2" t="str">
        <f t="shared" si="93"/>
        <v>2023</v>
      </c>
      <c r="E971" s="2" t="str">
        <f t="shared" si="90"/>
        <v>May</v>
      </c>
      <c r="F971" s="2" t="str">
        <f t="shared" si="94"/>
        <v>Q2</v>
      </c>
      <c r="G971" s="13">
        <f t="shared" si="91"/>
        <v>1</v>
      </c>
      <c r="H971" s="12" t="s">
        <v>23</v>
      </c>
      <c r="I971" s="1" t="s">
        <v>18</v>
      </c>
      <c r="J971" s="1" t="s">
        <v>19</v>
      </c>
      <c r="K971" s="1" t="s">
        <v>35</v>
      </c>
      <c r="L971" s="1" t="s">
        <v>1931</v>
      </c>
      <c r="M971" s="10">
        <v>219.37</v>
      </c>
      <c r="N971" s="8">
        <v>9</v>
      </c>
      <c r="O971" s="6">
        <v>0.49</v>
      </c>
      <c r="P971" s="10">
        <v>93.33</v>
      </c>
      <c r="Q971" s="11">
        <f t="shared" si="92"/>
        <v>126.04</v>
      </c>
      <c r="R971" t="str">
        <f t="shared" si="95"/>
        <v>profit</v>
      </c>
    </row>
    <row r="972" spans="1:18" ht="15.75" customHeight="1" x14ac:dyDescent="0.4">
      <c r="A972" s="1" t="s">
        <v>1932</v>
      </c>
      <c r="B972" s="2">
        <v>44920</v>
      </c>
      <c r="C972" s="2">
        <v>44925</v>
      </c>
      <c r="D972" s="2" t="str">
        <f t="shared" si="93"/>
        <v>2022</v>
      </c>
      <c r="E972" s="2" t="str">
        <f t="shared" si="90"/>
        <v>December</v>
      </c>
      <c r="F972" s="2" t="str">
        <f t="shared" si="94"/>
        <v>Q4</v>
      </c>
      <c r="G972" s="13">
        <f t="shared" si="91"/>
        <v>5</v>
      </c>
      <c r="H972" s="12" t="s">
        <v>42</v>
      </c>
      <c r="I972" s="1" t="s">
        <v>13</v>
      </c>
      <c r="J972" s="1" t="s">
        <v>14</v>
      </c>
      <c r="K972" s="1" t="s">
        <v>30</v>
      </c>
      <c r="L972" s="1" t="s">
        <v>1933</v>
      </c>
      <c r="M972" s="10">
        <v>742.98</v>
      </c>
      <c r="N972" s="8">
        <v>7</v>
      </c>
      <c r="O972" s="6">
        <v>0.43</v>
      </c>
      <c r="P972" s="10">
        <v>396.78</v>
      </c>
      <c r="Q972" s="11">
        <f t="shared" si="92"/>
        <v>346.20000000000005</v>
      </c>
      <c r="R972" t="str">
        <f t="shared" si="95"/>
        <v>profit</v>
      </c>
    </row>
    <row r="973" spans="1:18" ht="15.75" customHeight="1" x14ac:dyDescent="0.4">
      <c r="A973" s="1" t="s">
        <v>1934</v>
      </c>
      <c r="B973" s="2">
        <v>45200</v>
      </c>
      <c r="C973" s="2">
        <v>45204</v>
      </c>
      <c r="D973" s="2" t="str">
        <f t="shared" si="93"/>
        <v>2023</v>
      </c>
      <c r="E973" s="2" t="str">
        <f t="shared" si="90"/>
        <v>October</v>
      </c>
      <c r="F973" s="2" t="str">
        <f t="shared" si="94"/>
        <v>Q4</v>
      </c>
      <c r="G973" s="13">
        <f t="shared" si="91"/>
        <v>4</v>
      </c>
      <c r="H973" s="12" t="s">
        <v>42</v>
      </c>
      <c r="I973" s="1" t="s">
        <v>59</v>
      </c>
      <c r="J973" s="1" t="s">
        <v>14</v>
      </c>
      <c r="K973" s="1" t="s">
        <v>15</v>
      </c>
      <c r="L973" s="1" t="s">
        <v>1935</v>
      </c>
      <c r="M973" s="10">
        <v>216.99</v>
      </c>
      <c r="N973" s="8">
        <v>9</v>
      </c>
      <c r="O973" s="6">
        <v>0.48</v>
      </c>
      <c r="P973" s="10">
        <v>99.5</v>
      </c>
      <c r="Q973" s="11">
        <f t="shared" si="92"/>
        <v>117.49000000000001</v>
      </c>
      <c r="R973" t="str">
        <f t="shared" si="95"/>
        <v>profit</v>
      </c>
    </row>
    <row r="974" spans="1:18" ht="15.75" customHeight="1" x14ac:dyDescent="0.4">
      <c r="A974" s="1" t="s">
        <v>1936</v>
      </c>
      <c r="B974" s="2">
        <v>44992</v>
      </c>
      <c r="C974" s="2">
        <v>44993</v>
      </c>
      <c r="D974" s="2" t="str">
        <f t="shared" si="93"/>
        <v>2023</v>
      </c>
      <c r="E974" s="2" t="str">
        <f t="shared" si="90"/>
        <v>March</v>
      </c>
      <c r="F974" s="2" t="str">
        <f t="shared" si="94"/>
        <v>Q2</v>
      </c>
      <c r="G974" s="13">
        <f t="shared" si="91"/>
        <v>1</v>
      </c>
      <c r="H974" s="12" t="s">
        <v>42</v>
      </c>
      <c r="I974" s="1" t="s">
        <v>13</v>
      </c>
      <c r="J974" s="1" t="s">
        <v>19</v>
      </c>
      <c r="K974" s="1" t="s">
        <v>92</v>
      </c>
      <c r="L974" s="1" t="s">
        <v>1937</v>
      </c>
      <c r="M974" s="10">
        <v>771.25</v>
      </c>
      <c r="N974" s="8">
        <v>3</v>
      </c>
      <c r="O974" s="6">
        <v>0.06</v>
      </c>
      <c r="P974" s="10">
        <v>682.4</v>
      </c>
      <c r="Q974" s="11">
        <f t="shared" si="92"/>
        <v>88.850000000000023</v>
      </c>
      <c r="R974" t="str">
        <f t="shared" si="95"/>
        <v>profit</v>
      </c>
    </row>
    <row r="975" spans="1:18" ht="15.75" customHeight="1" x14ac:dyDescent="0.4">
      <c r="A975" s="1" t="s">
        <v>1938</v>
      </c>
      <c r="B975" s="2">
        <v>45452</v>
      </c>
      <c r="C975" s="2">
        <v>45457</v>
      </c>
      <c r="D975" s="2" t="str">
        <f t="shared" si="93"/>
        <v>2024</v>
      </c>
      <c r="E975" s="2" t="str">
        <f t="shared" si="90"/>
        <v>June</v>
      </c>
      <c r="F975" s="2" t="str">
        <f t="shared" si="94"/>
        <v>Q3</v>
      </c>
      <c r="G975" s="13">
        <f t="shared" si="91"/>
        <v>5</v>
      </c>
      <c r="H975" s="12" t="s">
        <v>42</v>
      </c>
      <c r="I975" s="1" t="s">
        <v>18</v>
      </c>
      <c r="J975" s="1" t="s">
        <v>19</v>
      </c>
      <c r="K975" s="1" t="s">
        <v>35</v>
      </c>
      <c r="L975" s="1" t="s">
        <v>1939</v>
      </c>
      <c r="M975" s="10">
        <v>677.48</v>
      </c>
      <c r="N975" s="8">
        <v>10</v>
      </c>
      <c r="O975" s="6">
        <v>0.31</v>
      </c>
      <c r="P975" s="10">
        <v>426.57</v>
      </c>
      <c r="Q975" s="11">
        <f t="shared" si="92"/>
        <v>250.91000000000003</v>
      </c>
      <c r="R975" t="str">
        <f t="shared" si="95"/>
        <v>profit</v>
      </c>
    </row>
    <row r="976" spans="1:18" ht="15.75" customHeight="1" x14ac:dyDescent="0.4">
      <c r="A976" s="1" t="s">
        <v>1940</v>
      </c>
      <c r="B976" s="2">
        <v>45435</v>
      </c>
      <c r="C976" s="2">
        <v>45440</v>
      </c>
      <c r="D976" s="2" t="str">
        <f t="shared" si="93"/>
        <v>2024</v>
      </c>
      <c r="E976" s="2" t="str">
        <f t="shared" si="90"/>
        <v>May</v>
      </c>
      <c r="F976" s="2" t="str">
        <f t="shared" si="94"/>
        <v>Q2</v>
      </c>
      <c r="G976" s="13">
        <f t="shared" si="91"/>
        <v>5</v>
      </c>
      <c r="H976" s="12" t="s">
        <v>1987</v>
      </c>
      <c r="I976" s="1" t="s">
        <v>13</v>
      </c>
      <c r="J976" s="1" t="s">
        <v>19</v>
      </c>
      <c r="K976" s="1" t="s">
        <v>92</v>
      </c>
      <c r="L976" s="1" t="s">
        <v>1717</v>
      </c>
      <c r="M976" s="10">
        <v>903.64</v>
      </c>
      <c r="N976" s="9" t="s">
        <v>1989</v>
      </c>
      <c r="O976" s="6">
        <v>0.19</v>
      </c>
      <c r="P976" s="10">
        <v>689.25</v>
      </c>
      <c r="Q976" s="11">
        <f t="shared" si="92"/>
        <v>214.39</v>
      </c>
      <c r="R976" t="str">
        <f t="shared" si="95"/>
        <v>profit</v>
      </c>
    </row>
    <row r="977" spans="1:18" ht="15.75" customHeight="1" x14ac:dyDescent="0.4">
      <c r="A977" s="1" t="s">
        <v>1941</v>
      </c>
      <c r="B977" s="2">
        <v>45500</v>
      </c>
      <c r="C977" s="2">
        <v>45500</v>
      </c>
      <c r="D977" s="2" t="str">
        <f t="shared" si="93"/>
        <v>2024</v>
      </c>
      <c r="E977" s="2" t="str">
        <f t="shared" si="90"/>
        <v>July</v>
      </c>
      <c r="F977" s="2" t="str">
        <f t="shared" si="94"/>
        <v>Q3</v>
      </c>
      <c r="G977" s="13">
        <f t="shared" si="91"/>
        <v>0</v>
      </c>
      <c r="H977" s="12" t="s">
        <v>23</v>
      </c>
      <c r="I977" s="1" t="s">
        <v>24</v>
      </c>
      <c r="J977" s="1" t="s">
        <v>14</v>
      </c>
      <c r="K977" s="1" t="s">
        <v>54</v>
      </c>
      <c r="L977" s="1" t="s">
        <v>1942</v>
      </c>
      <c r="M977" s="10">
        <v>594.98</v>
      </c>
      <c r="N977" s="8">
        <v>3</v>
      </c>
      <c r="O977" s="6">
        <v>0.43</v>
      </c>
      <c r="P977" s="10">
        <v>310.89999999999998</v>
      </c>
      <c r="Q977" s="11">
        <f t="shared" si="92"/>
        <v>284.08000000000004</v>
      </c>
      <c r="R977" t="str">
        <f t="shared" si="95"/>
        <v>profit</v>
      </c>
    </row>
    <row r="978" spans="1:18" ht="15.75" customHeight="1" x14ac:dyDescent="0.4">
      <c r="A978" s="1" t="s">
        <v>1943</v>
      </c>
      <c r="C978" s="2">
        <v>45275</v>
      </c>
      <c r="D978" s="2" t="str">
        <f t="shared" si="93"/>
        <v/>
      </c>
      <c r="E978" s="2" t="str">
        <f t="shared" si="90"/>
        <v>December</v>
      </c>
      <c r="F978" s="2" t="str">
        <f t="shared" si="94"/>
        <v>Q4</v>
      </c>
      <c r="G978" s="13">
        <f t="shared" si="91"/>
        <v>45275</v>
      </c>
      <c r="H978" s="12" t="s">
        <v>1988</v>
      </c>
      <c r="I978" s="1" t="s">
        <v>46</v>
      </c>
      <c r="J978" s="1" t="s">
        <v>19</v>
      </c>
      <c r="K978" s="1" t="s">
        <v>92</v>
      </c>
      <c r="L978" s="1" t="s">
        <v>1944</v>
      </c>
      <c r="M978" s="11" t="s">
        <v>1989</v>
      </c>
      <c r="N978" s="8">
        <v>4</v>
      </c>
      <c r="O978" s="6">
        <v>0.21</v>
      </c>
      <c r="P978" s="10">
        <v>536.54</v>
      </c>
      <c r="Q978" s="11" t="e">
        <f t="shared" si="92"/>
        <v>#VALUE!</v>
      </c>
      <c r="R978" t="str">
        <f t="shared" si="95"/>
        <v>profit</v>
      </c>
    </row>
    <row r="979" spans="1:18" ht="15.75" customHeight="1" x14ac:dyDescent="0.4">
      <c r="A979" s="1" t="s">
        <v>1945</v>
      </c>
      <c r="B979" s="2">
        <v>45115</v>
      </c>
      <c r="C979" s="2">
        <v>45120</v>
      </c>
      <c r="D979" s="2" t="str">
        <f t="shared" si="93"/>
        <v>2023</v>
      </c>
      <c r="E979" s="2" t="str">
        <f t="shared" si="90"/>
        <v>July</v>
      </c>
      <c r="F979" s="2" t="str">
        <f t="shared" si="94"/>
        <v>Q3</v>
      </c>
      <c r="G979" s="13">
        <f t="shared" si="91"/>
        <v>5</v>
      </c>
      <c r="H979" s="12" t="s">
        <v>23</v>
      </c>
      <c r="I979" s="1" t="s">
        <v>13</v>
      </c>
      <c r="J979" s="1" t="s">
        <v>14</v>
      </c>
      <c r="K979" s="1" t="s">
        <v>54</v>
      </c>
      <c r="L979" s="1" t="s">
        <v>1946</v>
      </c>
      <c r="M979" s="10">
        <v>296.87</v>
      </c>
      <c r="N979" s="8">
        <v>4</v>
      </c>
      <c r="O979" s="6">
        <v>0.2</v>
      </c>
      <c r="P979" s="10">
        <v>199.01</v>
      </c>
      <c r="Q979" s="11">
        <f t="shared" si="92"/>
        <v>97.860000000000014</v>
      </c>
      <c r="R979" t="str">
        <f t="shared" si="95"/>
        <v>profit</v>
      </c>
    </row>
    <row r="980" spans="1:18" ht="15.75" customHeight="1" x14ac:dyDescent="0.4">
      <c r="A980" s="1" t="s">
        <v>1947</v>
      </c>
      <c r="B980" s="2">
        <v>45221</v>
      </c>
      <c r="C980" s="2">
        <v>45226</v>
      </c>
      <c r="D980" s="2" t="str">
        <f t="shared" si="93"/>
        <v>2023</v>
      </c>
      <c r="E980" s="2" t="str">
        <f t="shared" si="90"/>
        <v>October</v>
      </c>
      <c r="F980" s="2" t="str">
        <f t="shared" si="94"/>
        <v>Q4</v>
      </c>
      <c r="G980" s="13">
        <f t="shared" si="91"/>
        <v>5</v>
      </c>
      <c r="H980" s="12" t="s">
        <v>1986</v>
      </c>
      <c r="I980" s="1" t="s">
        <v>59</v>
      </c>
      <c r="J980" s="1" t="s">
        <v>25</v>
      </c>
      <c r="K980" s="1" t="s">
        <v>43</v>
      </c>
      <c r="L980" s="1" t="s">
        <v>1948</v>
      </c>
      <c r="M980" s="10">
        <v>64.03</v>
      </c>
      <c r="N980" s="8">
        <v>8</v>
      </c>
      <c r="O980" s="6">
        <v>0.47</v>
      </c>
      <c r="P980" s="10">
        <v>-2</v>
      </c>
      <c r="Q980" s="11">
        <f t="shared" si="92"/>
        <v>66.03</v>
      </c>
      <c r="R980" t="str">
        <f t="shared" si="95"/>
        <v>loss</v>
      </c>
    </row>
    <row r="981" spans="1:18" ht="15.75" customHeight="1" x14ac:dyDescent="0.4">
      <c r="A981" s="1" t="s">
        <v>1949</v>
      </c>
      <c r="B981" s="2">
        <v>45483</v>
      </c>
      <c r="C981" s="2">
        <v>45487</v>
      </c>
      <c r="D981" s="2" t="str">
        <f t="shared" si="93"/>
        <v>2024</v>
      </c>
      <c r="E981" s="2" t="str">
        <f t="shared" si="90"/>
        <v>July</v>
      </c>
      <c r="F981" s="2" t="str">
        <f t="shared" si="94"/>
        <v>Q3</v>
      </c>
      <c r="G981" s="13">
        <f t="shared" si="91"/>
        <v>4</v>
      </c>
      <c r="H981" s="12" t="s">
        <v>1986</v>
      </c>
      <c r="I981" s="1" t="s">
        <v>53</v>
      </c>
      <c r="J981" s="1" t="s">
        <v>25</v>
      </c>
      <c r="K981" s="1" t="s">
        <v>43</v>
      </c>
      <c r="L981" s="1" t="s">
        <v>1950</v>
      </c>
      <c r="M981" s="10">
        <v>339.92</v>
      </c>
      <c r="N981" s="8">
        <v>6</v>
      </c>
      <c r="O981" s="6">
        <v>0.36</v>
      </c>
      <c r="P981" s="10">
        <v>172.31</v>
      </c>
      <c r="Q981" s="11">
        <f t="shared" si="92"/>
        <v>167.61</v>
      </c>
      <c r="R981" t="str">
        <f t="shared" si="95"/>
        <v>profit</v>
      </c>
    </row>
    <row r="982" spans="1:18" ht="15.75" customHeight="1" x14ac:dyDescent="0.4">
      <c r="A982" s="1" t="s">
        <v>1951</v>
      </c>
      <c r="B982" s="2">
        <v>44908</v>
      </c>
      <c r="C982" s="2">
        <v>44917</v>
      </c>
      <c r="D982" s="2" t="str">
        <f t="shared" si="93"/>
        <v>2022</v>
      </c>
      <c r="E982" s="2" t="str">
        <f t="shared" si="90"/>
        <v>December</v>
      </c>
      <c r="F982" s="2" t="str">
        <f t="shared" si="94"/>
        <v>Q4</v>
      </c>
      <c r="G982" s="13">
        <f t="shared" si="91"/>
        <v>9</v>
      </c>
      <c r="H982" s="12" t="s">
        <v>42</v>
      </c>
      <c r="I982" s="1" t="s">
        <v>13</v>
      </c>
      <c r="J982" s="1" t="s">
        <v>19</v>
      </c>
      <c r="K982" s="1" t="s">
        <v>20</v>
      </c>
      <c r="L982" s="1" t="s">
        <v>1952</v>
      </c>
      <c r="M982" s="10">
        <v>704.1</v>
      </c>
      <c r="N982" s="8">
        <v>3</v>
      </c>
      <c r="O982" s="6">
        <v>0.04</v>
      </c>
      <c r="P982" s="10">
        <v>648.73</v>
      </c>
      <c r="Q982" s="11">
        <f t="shared" si="92"/>
        <v>55.370000000000005</v>
      </c>
      <c r="R982" t="str">
        <f t="shared" si="95"/>
        <v>profit</v>
      </c>
    </row>
    <row r="983" spans="1:18" ht="15.75" customHeight="1" x14ac:dyDescent="0.4">
      <c r="A983" s="1" t="s">
        <v>1953</v>
      </c>
      <c r="B983" s="2">
        <v>45401</v>
      </c>
      <c r="C983" s="2">
        <v>45406</v>
      </c>
      <c r="D983" s="2" t="str">
        <f t="shared" si="93"/>
        <v>2024</v>
      </c>
      <c r="E983" s="2" t="str">
        <f t="shared" si="90"/>
        <v>April</v>
      </c>
      <c r="F983" s="2" t="str">
        <f t="shared" si="94"/>
        <v>Q2</v>
      </c>
      <c r="G983" s="13">
        <f t="shared" si="91"/>
        <v>5</v>
      </c>
      <c r="H983" s="12" t="s">
        <v>42</v>
      </c>
      <c r="I983" s="1" t="s">
        <v>18</v>
      </c>
      <c r="J983" s="1" t="s">
        <v>19</v>
      </c>
      <c r="K983" s="1" t="s">
        <v>92</v>
      </c>
      <c r="L983" s="1" t="s">
        <v>1954</v>
      </c>
      <c r="M983" s="10">
        <v>555.1</v>
      </c>
      <c r="N983" s="8">
        <v>2</v>
      </c>
      <c r="O983" s="6">
        <v>0.24</v>
      </c>
      <c r="P983" s="10">
        <v>384.32</v>
      </c>
      <c r="Q983" s="11">
        <f t="shared" si="92"/>
        <v>170.78000000000003</v>
      </c>
      <c r="R983" t="str">
        <f t="shared" si="95"/>
        <v>profit</v>
      </c>
    </row>
    <row r="984" spans="1:18" ht="15.75" customHeight="1" x14ac:dyDescent="0.4">
      <c r="A984" s="1" t="s">
        <v>1955</v>
      </c>
      <c r="B984" s="2">
        <v>45436</v>
      </c>
      <c r="C984" s="2">
        <v>45445</v>
      </c>
      <c r="D984" s="2" t="str">
        <f t="shared" si="93"/>
        <v>2024</v>
      </c>
      <c r="E984" s="2" t="str">
        <f t="shared" si="90"/>
        <v>June</v>
      </c>
      <c r="F984" s="2" t="str">
        <f t="shared" si="94"/>
        <v>Q3</v>
      </c>
      <c r="G984" s="13">
        <f t="shared" si="91"/>
        <v>9</v>
      </c>
      <c r="H984" s="12" t="s">
        <v>23</v>
      </c>
      <c r="I984" s="1" t="s">
        <v>18</v>
      </c>
      <c r="J984" s="1" t="s">
        <v>14</v>
      </c>
      <c r="K984" s="1" t="s">
        <v>54</v>
      </c>
      <c r="L984" s="1" t="s">
        <v>1956</v>
      </c>
      <c r="M984" s="10">
        <v>480.65</v>
      </c>
      <c r="N984" s="8">
        <v>5</v>
      </c>
      <c r="O984" s="6">
        <v>0</v>
      </c>
      <c r="P984" s="10">
        <v>444.37</v>
      </c>
      <c r="Q984" s="11">
        <f t="shared" si="92"/>
        <v>36.279999999999973</v>
      </c>
      <c r="R984" t="str">
        <f t="shared" si="95"/>
        <v>profit</v>
      </c>
    </row>
    <row r="985" spans="1:18" ht="15.75" customHeight="1" x14ac:dyDescent="0.4">
      <c r="A985" s="1" t="s">
        <v>1957</v>
      </c>
      <c r="B985" s="2">
        <v>45404</v>
      </c>
      <c r="C985" s="2">
        <v>45407</v>
      </c>
      <c r="D985" s="2" t="str">
        <f t="shared" si="93"/>
        <v>2024</v>
      </c>
      <c r="E985" s="2" t="str">
        <f t="shared" si="90"/>
        <v>April</v>
      </c>
      <c r="F985" s="2" t="str">
        <f t="shared" si="94"/>
        <v>Q2</v>
      </c>
      <c r="G985" s="13">
        <f t="shared" si="91"/>
        <v>3</v>
      </c>
      <c r="H985" s="12" t="s">
        <v>1986</v>
      </c>
      <c r="I985" s="1" t="s">
        <v>29</v>
      </c>
      <c r="J985" s="1" t="s">
        <v>19</v>
      </c>
      <c r="K985" s="1" t="s">
        <v>20</v>
      </c>
      <c r="L985" s="1" t="s">
        <v>1958</v>
      </c>
      <c r="M985" s="10">
        <v>519.51</v>
      </c>
      <c r="N985" s="8">
        <v>4</v>
      </c>
      <c r="O985" s="6">
        <v>0.11</v>
      </c>
      <c r="P985" s="10">
        <v>417.82</v>
      </c>
      <c r="Q985" s="11">
        <f t="shared" si="92"/>
        <v>101.69</v>
      </c>
      <c r="R985" t="str">
        <f t="shared" si="95"/>
        <v>profit</v>
      </c>
    </row>
    <row r="986" spans="1:18" ht="15.75" customHeight="1" x14ac:dyDescent="0.4">
      <c r="A986" s="1" t="s">
        <v>1959</v>
      </c>
      <c r="B986" s="2">
        <v>45595</v>
      </c>
      <c r="C986" s="2">
        <v>45604</v>
      </c>
      <c r="D986" s="2" t="str">
        <f t="shared" si="93"/>
        <v>2024</v>
      </c>
      <c r="E986" s="2" t="str">
        <f t="shared" si="90"/>
        <v>November</v>
      </c>
      <c r="F986" s="2" t="str">
        <f t="shared" si="94"/>
        <v>Q4</v>
      </c>
      <c r="G986" s="13">
        <f t="shared" si="91"/>
        <v>9</v>
      </c>
      <c r="H986" s="12" t="s">
        <v>1987</v>
      </c>
      <c r="I986" s="1" t="s">
        <v>18</v>
      </c>
      <c r="J986" s="1" t="s">
        <v>19</v>
      </c>
      <c r="K986" s="1" t="s">
        <v>92</v>
      </c>
      <c r="L986" s="1" t="s">
        <v>1960</v>
      </c>
      <c r="M986" s="10">
        <v>91.09</v>
      </c>
      <c r="N986" s="8">
        <v>4</v>
      </c>
      <c r="O986" s="6">
        <v>0.48</v>
      </c>
      <c r="P986" s="10">
        <v>0.83</v>
      </c>
      <c r="Q986" s="11">
        <f t="shared" si="92"/>
        <v>90.26</v>
      </c>
      <c r="R986" t="str">
        <f t="shared" si="95"/>
        <v>profit</v>
      </c>
    </row>
    <row r="987" spans="1:18" ht="15.75" customHeight="1" x14ac:dyDescent="0.4">
      <c r="A987" s="1" t="s">
        <v>1961</v>
      </c>
      <c r="B987" s="2">
        <v>44939</v>
      </c>
      <c r="C987" s="2">
        <v>44943</v>
      </c>
      <c r="D987" s="2" t="str">
        <f t="shared" si="93"/>
        <v>2023</v>
      </c>
      <c r="E987" s="2" t="str">
        <f t="shared" si="90"/>
        <v>January</v>
      </c>
      <c r="F987" s="2" t="str">
        <f t="shared" si="94"/>
        <v>Q1</v>
      </c>
      <c r="G987" s="13">
        <f t="shared" si="91"/>
        <v>4</v>
      </c>
      <c r="H987" s="12" t="s">
        <v>1987</v>
      </c>
      <c r="I987" s="1" t="s">
        <v>59</v>
      </c>
      <c r="J987" s="1" t="s">
        <v>19</v>
      </c>
      <c r="K987" s="1" t="s">
        <v>20</v>
      </c>
      <c r="L987" s="1" t="s">
        <v>1962</v>
      </c>
      <c r="M987" s="10">
        <v>203.17</v>
      </c>
      <c r="N987" s="8">
        <v>4</v>
      </c>
      <c r="O987" s="6">
        <v>0.43</v>
      </c>
      <c r="P987" s="10">
        <v>74.09</v>
      </c>
      <c r="Q987" s="11">
        <f t="shared" si="92"/>
        <v>129.07999999999998</v>
      </c>
      <c r="R987" t="str">
        <f t="shared" si="95"/>
        <v>profit</v>
      </c>
    </row>
    <row r="988" spans="1:18" ht="15.75" customHeight="1" x14ac:dyDescent="0.4">
      <c r="A988" s="1" t="s">
        <v>1963</v>
      </c>
      <c r="B988" s="2">
        <v>45605</v>
      </c>
      <c r="C988" s="2">
        <v>45613</v>
      </c>
      <c r="D988" s="2" t="str">
        <f t="shared" si="93"/>
        <v>2024</v>
      </c>
      <c r="E988" s="2" t="str">
        <f t="shared" si="90"/>
        <v>November</v>
      </c>
      <c r="F988" s="2" t="str">
        <f t="shared" si="94"/>
        <v>Q4</v>
      </c>
      <c r="G988" s="13">
        <f t="shared" si="91"/>
        <v>8</v>
      </c>
      <c r="H988" s="12" t="s">
        <v>1986</v>
      </c>
      <c r="I988" s="1" t="s">
        <v>24</v>
      </c>
      <c r="J988" s="1" t="s">
        <v>14</v>
      </c>
      <c r="K988" s="1" t="s">
        <v>15</v>
      </c>
      <c r="L988" s="1" t="s">
        <v>1964</v>
      </c>
      <c r="M988" s="10">
        <v>201.12</v>
      </c>
      <c r="N988" s="8">
        <v>6</v>
      </c>
      <c r="O988" s="6">
        <v>0.27</v>
      </c>
      <c r="P988" s="10">
        <v>125.25</v>
      </c>
      <c r="Q988" s="11">
        <f t="shared" si="92"/>
        <v>75.87</v>
      </c>
      <c r="R988" t="str">
        <f t="shared" si="95"/>
        <v>profit</v>
      </c>
    </row>
    <row r="989" spans="1:18" ht="15.75" customHeight="1" x14ac:dyDescent="0.4">
      <c r="A989" s="1" t="s">
        <v>1965</v>
      </c>
      <c r="B989" s="2">
        <v>44959</v>
      </c>
      <c r="C989" s="2">
        <v>44968</v>
      </c>
      <c r="D989" s="2" t="str">
        <f t="shared" si="93"/>
        <v>2023</v>
      </c>
      <c r="E989" s="2" t="str">
        <f t="shared" si="90"/>
        <v>February</v>
      </c>
      <c r="F989" s="2" t="str">
        <f t="shared" si="94"/>
        <v>Q1</v>
      </c>
      <c r="G989" s="13">
        <f t="shared" si="91"/>
        <v>9</v>
      </c>
      <c r="H989" s="12" t="s">
        <v>23</v>
      </c>
      <c r="I989" s="1" t="s">
        <v>53</v>
      </c>
      <c r="J989" s="1" t="s">
        <v>19</v>
      </c>
      <c r="K989" s="1" t="s">
        <v>35</v>
      </c>
      <c r="L989" s="1" t="s">
        <v>1966</v>
      </c>
      <c r="M989" s="10">
        <v>773.46</v>
      </c>
      <c r="N989" s="8">
        <v>6</v>
      </c>
      <c r="O989" s="6">
        <v>0.08</v>
      </c>
      <c r="P989" s="10">
        <v>674.71</v>
      </c>
      <c r="Q989" s="11">
        <f t="shared" si="92"/>
        <v>98.75</v>
      </c>
      <c r="R989" t="str">
        <f t="shared" si="95"/>
        <v>profit</v>
      </c>
    </row>
    <row r="990" spans="1:18" ht="15.75" customHeight="1" x14ac:dyDescent="0.4">
      <c r="A990" s="1" t="s">
        <v>1967</v>
      </c>
      <c r="B990" s="2">
        <v>45081</v>
      </c>
      <c r="C990" s="2">
        <v>45090</v>
      </c>
      <c r="D990" s="2" t="str">
        <f t="shared" si="93"/>
        <v>2023</v>
      </c>
      <c r="E990" s="2" t="str">
        <f t="shared" si="90"/>
        <v>June</v>
      </c>
      <c r="F990" s="2" t="str">
        <f t="shared" si="94"/>
        <v>Q3</v>
      </c>
      <c r="G990" s="13">
        <f t="shared" si="91"/>
        <v>9</v>
      </c>
      <c r="H990" s="12" t="s">
        <v>23</v>
      </c>
      <c r="I990" s="1" t="s">
        <v>46</v>
      </c>
      <c r="J990" s="1" t="s">
        <v>19</v>
      </c>
      <c r="K990" s="1" t="s">
        <v>92</v>
      </c>
      <c r="L990" s="1" t="s">
        <v>1968</v>
      </c>
      <c r="M990" s="10">
        <v>376.31</v>
      </c>
      <c r="N990" s="8">
        <v>4</v>
      </c>
      <c r="O990" s="6">
        <v>0.1</v>
      </c>
      <c r="P990" s="10">
        <v>319.91000000000003</v>
      </c>
      <c r="Q990" s="11">
        <f t="shared" si="92"/>
        <v>56.399999999999977</v>
      </c>
      <c r="R990" t="str">
        <f t="shared" si="95"/>
        <v>profit</v>
      </c>
    </row>
    <row r="991" spans="1:18" ht="15.75" customHeight="1" x14ac:dyDescent="0.4">
      <c r="A991" s="1" t="s">
        <v>1969</v>
      </c>
      <c r="B991" s="2">
        <v>45426</v>
      </c>
      <c r="C991" s="2">
        <v>45435</v>
      </c>
      <c r="D991" s="2" t="str">
        <f t="shared" si="93"/>
        <v>2024</v>
      </c>
      <c r="E991" s="2" t="str">
        <f t="shared" si="90"/>
        <v>May</v>
      </c>
      <c r="F991" s="2" t="str">
        <f t="shared" si="94"/>
        <v>Q2</v>
      </c>
      <c r="G991" s="13">
        <f t="shared" si="91"/>
        <v>9</v>
      </c>
      <c r="H991" s="12" t="s">
        <v>1987</v>
      </c>
      <c r="I991" s="1" t="s">
        <v>50</v>
      </c>
      <c r="J991" s="1" t="s">
        <v>19</v>
      </c>
      <c r="K991" s="1" t="s">
        <v>92</v>
      </c>
      <c r="L991" s="1" t="s">
        <v>1970</v>
      </c>
      <c r="M991" s="10">
        <v>587</v>
      </c>
      <c r="N991" s="8">
        <v>9</v>
      </c>
      <c r="O991" s="6">
        <v>0.16</v>
      </c>
      <c r="P991" s="10">
        <v>445.74</v>
      </c>
      <c r="Q991" s="11">
        <f t="shared" si="92"/>
        <v>141.26</v>
      </c>
      <c r="R991" t="str">
        <f t="shared" si="95"/>
        <v>profit</v>
      </c>
    </row>
    <row r="992" spans="1:18" ht="15.75" customHeight="1" x14ac:dyDescent="0.4">
      <c r="A992" s="1" t="s">
        <v>304</v>
      </c>
      <c r="C992" s="2">
        <v>45603</v>
      </c>
      <c r="D992" s="2" t="str">
        <f t="shared" si="93"/>
        <v/>
      </c>
      <c r="E992" s="2" t="str">
        <f t="shared" si="90"/>
        <v>November</v>
      </c>
      <c r="F992" s="2" t="str">
        <f t="shared" si="94"/>
        <v>Q4</v>
      </c>
      <c r="G992" s="13">
        <f t="shared" si="91"/>
        <v>45603</v>
      </c>
      <c r="H992" s="12" t="s">
        <v>1988</v>
      </c>
      <c r="I992" s="1" t="s">
        <v>24</v>
      </c>
      <c r="J992" s="1" t="s">
        <v>14</v>
      </c>
      <c r="K992" s="1" t="s">
        <v>54</v>
      </c>
      <c r="L992" s="1" t="s">
        <v>305</v>
      </c>
      <c r="M992" s="11" t="s">
        <v>1989</v>
      </c>
      <c r="N992" s="8">
        <v>4</v>
      </c>
      <c r="O992" s="6">
        <v>0.46</v>
      </c>
      <c r="P992" s="10">
        <v>482.52</v>
      </c>
      <c r="Q992" s="11" t="e">
        <f t="shared" si="92"/>
        <v>#VALUE!</v>
      </c>
      <c r="R992" t="str">
        <f t="shared" si="95"/>
        <v>profit</v>
      </c>
    </row>
    <row r="993" spans="1:18" ht="15.75" customHeight="1" x14ac:dyDescent="0.4">
      <c r="A993" s="1" t="s">
        <v>848</v>
      </c>
      <c r="C993" s="2">
        <v>45241</v>
      </c>
      <c r="D993" s="2" t="str">
        <f t="shared" si="93"/>
        <v/>
      </c>
      <c r="E993" s="2" t="str">
        <f t="shared" si="90"/>
        <v>November</v>
      </c>
      <c r="F993" s="2" t="str">
        <f t="shared" si="94"/>
        <v>Q4</v>
      </c>
      <c r="G993" s="13">
        <f t="shared" si="91"/>
        <v>45241</v>
      </c>
      <c r="H993" s="12" t="s">
        <v>1988</v>
      </c>
      <c r="I993" s="1" t="s">
        <v>46</v>
      </c>
      <c r="J993" s="1" t="s">
        <v>19</v>
      </c>
      <c r="K993" s="1" t="s">
        <v>92</v>
      </c>
      <c r="L993" s="1" t="s">
        <v>228</v>
      </c>
      <c r="M993" s="11" t="s">
        <v>1989</v>
      </c>
      <c r="N993" s="8">
        <v>10</v>
      </c>
      <c r="O993" s="6">
        <v>0.45</v>
      </c>
      <c r="P993" s="10">
        <v>506.73</v>
      </c>
      <c r="Q993" s="11" t="e">
        <f t="shared" si="92"/>
        <v>#VALUE!</v>
      </c>
      <c r="R993" t="str">
        <f t="shared" si="95"/>
        <v>profit</v>
      </c>
    </row>
    <row r="994" spans="1:18" ht="15.75" customHeight="1" x14ac:dyDescent="0.4">
      <c r="A994" s="1" t="s">
        <v>1038</v>
      </c>
      <c r="C994" s="2">
        <v>45262</v>
      </c>
      <c r="D994" s="2" t="str">
        <f t="shared" si="93"/>
        <v/>
      </c>
      <c r="E994" s="2" t="str">
        <f t="shared" si="90"/>
        <v>December</v>
      </c>
      <c r="F994" s="2" t="str">
        <f t="shared" si="94"/>
        <v>Q4</v>
      </c>
      <c r="G994" s="13">
        <f t="shared" si="91"/>
        <v>45262</v>
      </c>
      <c r="H994" s="12" t="s">
        <v>1988</v>
      </c>
      <c r="I994" s="1" t="s">
        <v>46</v>
      </c>
      <c r="J994" s="1" t="s">
        <v>19</v>
      </c>
      <c r="K994" s="1" t="s">
        <v>20</v>
      </c>
      <c r="L994" s="1" t="s">
        <v>1039</v>
      </c>
      <c r="M994" s="11" t="s">
        <v>1989</v>
      </c>
      <c r="N994" s="8">
        <v>3</v>
      </c>
      <c r="O994" s="6">
        <v>0.44</v>
      </c>
      <c r="P994" s="10">
        <v>156.16999999999999</v>
      </c>
      <c r="Q994" s="11" t="e">
        <f t="shared" si="92"/>
        <v>#VALUE!</v>
      </c>
      <c r="R994" t="str">
        <f t="shared" si="95"/>
        <v>profit</v>
      </c>
    </row>
    <row r="995" spans="1:18" ht="15.75" customHeight="1" x14ac:dyDescent="0.4">
      <c r="A995" s="1" t="s">
        <v>1054</v>
      </c>
      <c r="C995" s="2">
        <v>45095</v>
      </c>
      <c r="D995" s="2" t="str">
        <f t="shared" si="93"/>
        <v/>
      </c>
      <c r="E995" s="2" t="str">
        <f t="shared" si="90"/>
        <v>June</v>
      </c>
      <c r="F995" s="2" t="str">
        <f t="shared" si="94"/>
        <v>Q3</v>
      </c>
      <c r="G995" s="13">
        <f t="shared" si="91"/>
        <v>45095</v>
      </c>
      <c r="H995" s="12" t="s">
        <v>1988</v>
      </c>
      <c r="I995" s="1" t="s">
        <v>24</v>
      </c>
      <c r="J995" s="1" t="s">
        <v>19</v>
      </c>
      <c r="K995" s="1" t="s">
        <v>35</v>
      </c>
      <c r="L995" s="1" t="s">
        <v>1055</v>
      </c>
      <c r="M995" s="11" t="s">
        <v>1989</v>
      </c>
      <c r="N995" s="8">
        <v>6</v>
      </c>
      <c r="O995" s="6">
        <v>0.48</v>
      </c>
      <c r="P995" s="10">
        <v>33.1</v>
      </c>
      <c r="Q995" s="11" t="e">
        <f t="shared" si="92"/>
        <v>#VALUE!</v>
      </c>
      <c r="R995" t="str">
        <f t="shared" si="95"/>
        <v>profit</v>
      </c>
    </row>
    <row r="996" spans="1:18" ht="15.75" customHeight="1" x14ac:dyDescent="0.4">
      <c r="A996" s="1" t="s">
        <v>1258</v>
      </c>
      <c r="C996" s="2">
        <v>45437</v>
      </c>
      <c r="D996" s="2" t="str">
        <f t="shared" si="93"/>
        <v/>
      </c>
      <c r="E996" s="2" t="str">
        <f t="shared" si="90"/>
        <v>May</v>
      </c>
      <c r="F996" s="2" t="str">
        <f t="shared" si="94"/>
        <v>Q2</v>
      </c>
      <c r="G996" s="13">
        <f t="shared" si="91"/>
        <v>45437</v>
      </c>
      <c r="H996" s="12" t="s">
        <v>1988</v>
      </c>
      <c r="I996" s="1" t="s">
        <v>59</v>
      </c>
      <c r="J996" s="1" t="s">
        <v>25</v>
      </c>
      <c r="K996" s="1" t="s">
        <v>47</v>
      </c>
      <c r="L996" s="1" t="s">
        <v>1259</v>
      </c>
      <c r="M996" s="11" t="s">
        <v>1989</v>
      </c>
      <c r="N996" s="8">
        <v>7</v>
      </c>
      <c r="O996" s="6">
        <v>0.03</v>
      </c>
      <c r="P996" s="10">
        <v>17.55</v>
      </c>
      <c r="Q996" s="11" t="e">
        <f t="shared" si="92"/>
        <v>#VALUE!</v>
      </c>
      <c r="R996" t="str">
        <f t="shared" si="95"/>
        <v>profit</v>
      </c>
    </row>
    <row r="997" spans="1:18" ht="15.75" customHeight="1" x14ac:dyDescent="0.4">
      <c r="A997" s="1" t="s">
        <v>1322</v>
      </c>
      <c r="C997" s="2">
        <v>45419</v>
      </c>
      <c r="D997" s="2" t="str">
        <f t="shared" si="93"/>
        <v/>
      </c>
      <c r="E997" s="2" t="str">
        <f t="shared" si="90"/>
        <v>May</v>
      </c>
      <c r="F997" s="2" t="str">
        <f t="shared" si="94"/>
        <v>Q2</v>
      </c>
      <c r="G997" s="13">
        <f t="shared" si="91"/>
        <v>45419</v>
      </c>
      <c r="H997" s="12" t="s">
        <v>1988</v>
      </c>
      <c r="I997" s="1" t="s">
        <v>13</v>
      </c>
      <c r="J997" s="1" t="s">
        <v>14</v>
      </c>
      <c r="K997" s="1" t="s">
        <v>54</v>
      </c>
      <c r="L997" s="1" t="s">
        <v>1323</v>
      </c>
      <c r="M997" s="11" t="s">
        <v>1989</v>
      </c>
      <c r="N997" s="8">
        <v>9</v>
      </c>
      <c r="O997" s="6">
        <v>7.0000000000000007E-2</v>
      </c>
      <c r="P997" s="10">
        <v>825.26</v>
      </c>
      <c r="Q997" s="11" t="e">
        <f t="shared" si="92"/>
        <v>#VALUE!</v>
      </c>
      <c r="R997" t="str">
        <f t="shared" si="95"/>
        <v>profit</v>
      </c>
    </row>
    <row r="998" spans="1:18" ht="15.75" customHeight="1" x14ac:dyDescent="0.4">
      <c r="A998" s="1" t="s">
        <v>1357</v>
      </c>
      <c r="C998" s="2">
        <v>45003</v>
      </c>
      <c r="D998" s="2" t="str">
        <f t="shared" si="93"/>
        <v/>
      </c>
      <c r="E998" s="2" t="str">
        <f t="shared" si="90"/>
        <v>March</v>
      </c>
      <c r="F998" s="2" t="str">
        <f t="shared" si="94"/>
        <v>Q2</v>
      </c>
      <c r="G998" s="13">
        <f t="shared" si="91"/>
        <v>45003</v>
      </c>
      <c r="H998" s="12" t="s">
        <v>1988</v>
      </c>
      <c r="I998" s="1" t="s">
        <v>13</v>
      </c>
      <c r="J998" s="1" t="s">
        <v>14</v>
      </c>
      <c r="K998" s="1" t="s">
        <v>54</v>
      </c>
      <c r="L998" s="1" t="s">
        <v>1358</v>
      </c>
      <c r="M998" s="11" t="s">
        <v>1989</v>
      </c>
      <c r="N998" s="8">
        <v>8</v>
      </c>
      <c r="O998" s="6">
        <v>0.43</v>
      </c>
      <c r="P998" s="10">
        <v>28.39</v>
      </c>
      <c r="Q998" s="11" t="e">
        <f t="shared" si="92"/>
        <v>#VALUE!</v>
      </c>
      <c r="R998" t="str">
        <f t="shared" si="95"/>
        <v>profit</v>
      </c>
    </row>
    <row r="999" spans="1:18" ht="15.75" customHeight="1" x14ac:dyDescent="0.4">
      <c r="A999" s="1" t="s">
        <v>1472</v>
      </c>
      <c r="C999" s="2">
        <v>45230</v>
      </c>
      <c r="D999" s="2" t="str">
        <f t="shared" si="93"/>
        <v/>
      </c>
      <c r="E999" s="2" t="str">
        <f t="shared" si="90"/>
        <v>October</v>
      </c>
      <c r="F999" s="2" t="str">
        <f t="shared" si="94"/>
        <v>Q4</v>
      </c>
      <c r="G999" s="13">
        <f t="shared" si="91"/>
        <v>45230</v>
      </c>
      <c r="H999" s="12" t="s">
        <v>1988</v>
      </c>
      <c r="I999" s="1" t="s">
        <v>13</v>
      </c>
      <c r="J999" s="1" t="s">
        <v>14</v>
      </c>
      <c r="K999" s="1" t="s">
        <v>15</v>
      </c>
      <c r="L999" s="1" t="s">
        <v>1473</v>
      </c>
      <c r="M999" s="11" t="s">
        <v>1989</v>
      </c>
      <c r="N999" s="8">
        <v>10</v>
      </c>
      <c r="O999" s="6">
        <v>0.44</v>
      </c>
      <c r="P999" s="10">
        <v>268.98</v>
      </c>
      <c r="Q999" s="11" t="e">
        <f t="shared" si="92"/>
        <v>#VALUE!</v>
      </c>
      <c r="R999" t="str">
        <f t="shared" si="95"/>
        <v>profit</v>
      </c>
    </row>
    <row r="1000" spans="1:18" ht="15.75" customHeight="1" x14ac:dyDescent="0.4">
      <c r="A1000" s="1" t="s">
        <v>1477</v>
      </c>
      <c r="C1000" s="2">
        <v>45092</v>
      </c>
      <c r="D1000" s="2" t="str">
        <f t="shared" si="93"/>
        <v/>
      </c>
      <c r="E1000" s="2" t="str">
        <f t="shared" si="90"/>
        <v>June</v>
      </c>
      <c r="F1000" s="2" t="str">
        <f t="shared" si="94"/>
        <v>Q3</v>
      </c>
      <c r="G1000" s="13">
        <f t="shared" si="91"/>
        <v>45092</v>
      </c>
      <c r="H1000" s="12" t="s">
        <v>1988</v>
      </c>
      <c r="I1000" s="1" t="s">
        <v>46</v>
      </c>
      <c r="J1000" s="1" t="s">
        <v>19</v>
      </c>
      <c r="K1000" s="1" t="s">
        <v>92</v>
      </c>
      <c r="L1000" s="1" t="s">
        <v>1478</v>
      </c>
      <c r="M1000" s="11" t="s">
        <v>1989</v>
      </c>
      <c r="N1000" s="8">
        <v>6</v>
      </c>
      <c r="O1000" s="6">
        <v>0.14000000000000001</v>
      </c>
      <c r="P1000" s="10">
        <v>698.44</v>
      </c>
      <c r="Q1000" s="11" t="e">
        <f t="shared" si="92"/>
        <v>#VALUE!</v>
      </c>
      <c r="R1000" t="str">
        <f t="shared" si="95"/>
        <v>profit</v>
      </c>
    </row>
    <row r="1001" spans="1:18" ht="15.75" customHeight="1" x14ac:dyDescent="0.4">
      <c r="A1001" s="1" t="s">
        <v>1702</v>
      </c>
      <c r="C1001" s="2">
        <v>45580</v>
      </c>
      <c r="D1001" s="2" t="str">
        <f t="shared" si="93"/>
        <v/>
      </c>
      <c r="E1001" s="2" t="str">
        <f t="shared" si="90"/>
        <v>October</v>
      </c>
      <c r="F1001" s="2" t="str">
        <f t="shared" si="94"/>
        <v>Q4</v>
      </c>
      <c r="G1001" s="13">
        <f t="shared" si="91"/>
        <v>45580</v>
      </c>
      <c r="H1001" s="12" t="s">
        <v>1988</v>
      </c>
      <c r="I1001" s="1" t="s">
        <v>13</v>
      </c>
      <c r="J1001" s="1" t="s">
        <v>25</v>
      </c>
      <c r="K1001" s="1" t="s">
        <v>26</v>
      </c>
      <c r="L1001" s="1" t="s">
        <v>1703</v>
      </c>
      <c r="M1001" s="11" t="s">
        <v>1989</v>
      </c>
      <c r="N1001" s="8">
        <v>9</v>
      </c>
      <c r="O1001" s="6">
        <v>0.31</v>
      </c>
      <c r="P1001" s="10">
        <v>449.51</v>
      </c>
      <c r="Q1001" s="11" t="e">
        <f t="shared" si="92"/>
        <v>#VALUE!</v>
      </c>
      <c r="R1001" t="str">
        <f t="shared" si="95"/>
        <v>profit</v>
      </c>
    </row>
    <row r="1002" spans="1:18" ht="15.75" customHeight="1" x14ac:dyDescent="0.4">
      <c r="A1002" s="1" t="s">
        <v>1054</v>
      </c>
      <c r="C1002" s="2">
        <v>45095</v>
      </c>
      <c r="D1002" s="2" t="str">
        <f t="shared" si="93"/>
        <v/>
      </c>
      <c r="E1002" s="2" t="str">
        <f t="shared" si="90"/>
        <v>June</v>
      </c>
      <c r="F1002" s="2" t="str">
        <f t="shared" si="94"/>
        <v>Q3</v>
      </c>
      <c r="G1002" s="13">
        <f t="shared" si="91"/>
        <v>45095</v>
      </c>
      <c r="H1002" s="12" t="s">
        <v>1988</v>
      </c>
      <c r="I1002" s="1" t="s">
        <v>24</v>
      </c>
      <c r="J1002" s="1" t="s">
        <v>19</v>
      </c>
      <c r="K1002" s="1" t="s">
        <v>35</v>
      </c>
      <c r="L1002" s="1" t="s">
        <v>1055</v>
      </c>
      <c r="M1002" s="11" t="s">
        <v>1989</v>
      </c>
      <c r="N1002" s="8">
        <v>6</v>
      </c>
      <c r="O1002" s="6">
        <v>0.48</v>
      </c>
      <c r="P1002" s="10">
        <v>33.1</v>
      </c>
      <c r="Q1002" s="11" t="e">
        <f t="shared" si="92"/>
        <v>#VALUE!</v>
      </c>
      <c r="R1002" t="str">
        <f t="shared" si="95"/>
        <v>profit</v>
      </c>
    </row>
    <row r="1003" spans="1:18" ht="15.75" customHeight="1" x14ac:dyDescent="0.4">
      <c r="A1003" s="1" t="s">
        <v>1472</v>
      </c>
      <c r="C1003" s="2">
        <v>45230</v>
      </c>
      <c r="D1003" s="2" t="str">
        <f t="shared" si="93"/>
        <v/>
      </c>
      <c r="E1003" s="2" t="str">
        <f t="shared" si="90"/>
        <v>October</v>
      </c>
      <c r="F1003" s="2" t="str">
        <f t="shared" si="94"/>
        <v>Q4</v>
      </c>
      <c r="G1003" s="13">
        <f t="shared" si="91"/>
        <v>45230</v>
      </c>
      <c r="H1003" s="12" t="s">
        <v>1988</v>
      </c>
      <c r="I1003" s="1" t="s">
        <v>13</v>
      </c>
      <c r="J1003" s="1" t="s">
        <v>14</v>
      </c>
      <c r="K1003" s="1" t="s">
        <v>15</v>
      </c>
      <c r="L1003" s="1" t="s">
        <v>1473</v>
      </c>
      <c r="M1003" s="11" t="s">
        <v>1989</v>
      </c>
      <c r="N1003" s="8">
        <v>10</v>
      </c>
      <c r="O1003" s="6">
        <v>0.44</v>
      </c>
      <c r="P1003" s="10">
        <v>268.98</v>
      </c>
      <c r="Q1003" s="11" t="e">
        <f t="shared" si="92"/>
        <v>#VALUE!</v>
      </c>
      <c r="R1003" t="str">
        <f t="shared" si="95"/>
        <v>profit</v>
      </c>
    </row>
    <row r="1004" spans="1:18" ht="15.75" customHeight="1" x14ac:dyDescent="0.4">
      <c r="A1004" s="1" t="s">
        <v>1477</v>
      </c>
      <c r="C1004" s="2">
        <v>45092</v>
      </c>
      <c r="D1004" s="2" t="str">
        <f t="shared" si="93"/>
        <v/>
      </c>
      <c r="E1004" s="2" t="str">
        <f t="shared" si="90"/>
        <v>June</v>
      </c>
      <c r="F1004" s="2" t="str">
        <f t="shared" si="94"/>
        <v>Q3</v>
      </c>
      <c r="G1004" s="13">
        <f t="shared" si="91"/>
        <v>45092</v>
      </c>
      <c r="H1004" s="12" t="s">
        <v>1988</v>
      </c>
      <c r="I1004" s="1" t="s">
        <v>46</v>
      </c>
      <c r="J1004" s="1" t="s">
        <v>19</v>
      </c>
      <c r="K1004" s="1" t="s">
        <v>92</v>
      </c>
      <c r="L1004" s="1" t="s">
        <v>1478</v>
      </c>
      <c r="M1004" s="11" t="s">
        <v>1989</v>
      </c>
      <c r="N1004" s="8">
        <v>6</v>
      </c>
      <c r="O1004" s="6">
        <v>0.14000000000000001</v>
      </c>
      <c r="P1004" s="10">
        <v>698.44</v>
      </c>
      <c r="Q1004" s="11" t="e">
        <f t="shared" si="92"/>
        <v>#VALUE!</v>
      </c>
      <c r="R1004" t="str">
        <f t="shared" si="95"/>
        <v>profit</v>
      </c>
    </row>
    <row r="1005" spans="1:18" ht="15.75" customHeight="1" x14ac:dyDescent="0.4">
      <c r="A1005" s="1" t="s">
        <v>1322</v>
      </c>
      <c r="C1005" s="2">
        <v>45419</v>
      </c>
      <c r="D1005" s="2" t="str">
        <f t="shared" si="93"/>
        <v/>
      </c>
      <c r="E1005" s="2" t="str">
        <f t="shared" si="90"/>
        <v>May</v>
      </c>
      <c r="F1005" s="2" t="str">
        <f t="shared" si="94"/>
        <v>Q2</v>
      </c>
      <c r="G1005" s="13">
        <f t="shared" si="91"/>
        <v>45419</v>
      </c>
      <c r="H1005" s="12" t="s">
        <v>1988</v>
      </c>
      <c r="I1005" s="1" t="s">
        <v>13</v>
      </c>
      <c r="J1005" s="1" t="s">
        <v>14</v>
      </c>
      <c r="K1005" s="1" t="s">
        <v>54</v>
      </c>
      <c r="L1005" s="1" t="s">
        <v>1323</v>
      </c>
      <c r="M1005" s="11" t="s">
        <v>1989</v>
      </c>
      <c r="N1005" s="8">
        <v>9</v>
      </c>
      <c r="O1005" s="6">
        <v>7.0000000000000007E-2</v>
      </c>
      <c r="P1005" s="10">
        <v>825.26</v>
      </c>
      <c r="Q1005" s="11" t="e">
        <f t="shared" si="92"/>
        <v>#VALUE!</v>
      </c>
      <c r="R1005" t="str">
        <f t="shared" si="95"/>
        <v>profit</v>
      </c>
    </row>
    <row r="1006" spans="1:18" ht="15.75" customHeight="1" x14ac:dyDescent="0.4">
      <c r="A1006" s="1" t="s">
        <v>848</v>
      </c>
      <c r="C1006" s="2">
        <v>45241</v>
      </c>
      <c r="D1006" s="2" t="str">
        <f t="shared" si="93"/>
        <v/>
      </c>
      <c r="E1006" s="2" t="str">
        <f t="shared" si="90"/>
        <v>November</v>
      </c>
      <c r="F1006" s="2" t="str">
        <f t="shared" si="94"/>
        <v>Q4</v>
      </c>
      <c r="G1006" s="13">
        <f t="shared" si="91"/>
        <v>45241</v>
      </c>
      <c r="H1006" s="12" t="s">
        <v>1988</v>
      </c>
      <c r="I1006" s="1" t="s">
        <v>46</v>
      </c>
      <c r="J1006" s="1" t="s">
        <v>19</v>
      </c>
      <c r="K1006" s="1" t="s">
        <v>92</v>
      </c>
      <c r="L1006" s="1" t="s">
        <v>228</v>
      </c>
      <c r="M1006" s="11" t="s">
        <v>1989</v>
      </c>
      <c r="N1006" s="8">
        <v>10</v>
      </c>
      <c r="O1006" s="6">
        <v>0.45</v>
      </c>
      <c r="P1006" s="10">
        <v>506.73</v>
      </c>
      <c r="Q1006" s="11" t="e">
        <f t="shared" si="92"/>
        <v>#VALUE!</v>
      </c>
      <c r="R1006" t="str">
        <f t="shared" si="95"/>
        <v>profit</v>
      </c>
    </row>
    <row r="1007" spans="1:18" ht="15.75" customHeight="1" x14ac:dyDescent="0.4">
      <c r="A1007" s="1" t="s">
        <v>1357</v>
      </c>
      <c r="C1007" s="2">
        <v>45003</v>
      </c>
      <c r="D1007" s="2" t="str">
        <f t="shared" si="93"/>
        <v/>
      </c>
      <c r="E1007" s="2" t="str">
        <f t="shared" si="90"/>
        <v>March</v>
      </c>
      <c r="F1007" s="2" t="str">
        <f t="shared" si="94"/>
        <v>Q2</v>
      </c>
      <c r="G1007" s="13">
        <f t="shared" si="91"/>
        <v>45003</v>
      </c>
      <c r="H1007" s="12" t="s">
        <v>1988</v>
      </c>
      <c r="I1007" s="1" t="s">
        <v>13</v>
      </c>
      <c r="J1007" s="1" t="s">
        <v>14</v>
      </c>
      <c r="K1007" s="1" t="s">
        <v>54</v>
      </c>
      <c r="L1007" s="1" t="s">
        <v>1358</v>
      </c>
      <c r="M1007" s="11" t="s">
        <v>1989</v>
      </c>
      <c r="N1007" s="8">
        <v>8</v>
      </c>
      <c r="O1007" s="6">
        <v>0.43</v>
      </c>
      <c r="P1007" s="10">
        <v>28.39</v>
      </c>
      <c r="Q1007" s="11" t="e">
        <f t="shared" si="92"/>
        <v>#VALUE!</v>
      </c>
      <c r="R1007" t="str">
        <f t="shared" si="95"/>
        <v>profit</v>
      </c>
    </row>
    <row r="1008" spans="1:18" ht="15.75" customHeight="1" x14ac:dyDescent="0.4">
      <c r="A1008" s="1" t="s">
        <v>1258</v>
      </c>
      <c r="C1008" s="2">
        <v>45437</v>
      </c>
      <c r="D1008" s="2" t="str">
        <f t="shared" si="93"/>
        <v/>
      </c>
      <c r="E1008" s="2" t="str">
        <f t="shared" si="90"/>
        <v>May</v>
      </c>
      <c r="F1008" s="2" t="str">
        <f t="shared" si="94"/>
        <v>Q2</v>
      </c>
      <c r="G1008" s="13">
        <f t="shared" si="91"/>
        <v>45437</v>
      </c>
      <c r="H1008" s="12" t="s">
        <v>1988</v>
      </c>
      <c r="I1008" s="1" t="s">
        <v>59</v>
      </c>
      <c r="J1008" s="1" t="s">
        <v>25</v>
      </c>
      <c r="K1008" s="1" t="s">
        <v>47</v>
      </c>
      <c r="L1008" s="1" t="s">
        <v>1259</v>
      </c>
      <c r="M1008" s="11" t="s">
        <v>1989</v>
      </c>
      <c r="N1008" s="8">
        <v>7</v>
      </c>
      <c r="O1008" s="6">
        <v>0.03</v>
      </c>
      <c r="P1008" s="10">
        <v>17.55</v>
      </c>
      <c r="Q1008" s="11" t="e">
        <f t="shared" si="92"/>
        <v>#VALUE!</v>
      </c>
      <c r="R1008" t="str">
        <f t="shared" si="95"/>
        <v>profit</v>
      </c>
    </row>
    <row r="1009" spans="1:19" ht="15.75" customHeight="1" x14ac:dyDescent="0.4">
      <c r="A1009" s="1" t="s">
        <v>1038</v>
      </c>
      <c r="C1009" s="2">
        <v>45262</v>
      </c>
      <c r="D1009" s="2" t="str">
        <f t="shared" si="93"/>
        <v/>
      </c>
      <c r="E1009" s="2" t="str">
        <f t="shared" si="90"/>
        <v>December</v>
      </c>
      <c r="F1009" s="2" t="str">
        <f t="shared" si="94"/>
        <v>Q4</v>
      </c>
      <c r="G1009" s="13">
        <f t="shared" si="91"/>
        <v>45262</v>
      </c>
      <c r="H1009" s="12" t="s">
        <v>1988</v>
      </c>
      <c r="I1009" s="1" t="s">
        <v>46</v>
      </c>
      <c r="J1009" s="1" t="s">
        <v>19</v>
      </c>
      <c r="K1009" s="1" t="s">
        <v>20</v>
      </c>
      <c r="L1009" s="1" t="s">
        <v>1039</v>
      </c>
      <c r="M1009" s="11" t="s">
        <v>1989</v>
      </c>
      <c r="N1009" s="8">
        <v>3</v>
      </c>
      <c r="O1009" s="6">
        <v>0.44</v>
      </c>
      <c r="P1009" s="10">
        <v>156.16999999999999</v>
      </c>
      <c r="Q1009" s="11" t="e">
        <f t="shared" si="92"/>
        <v>#VALUE!</v>
      </c>
      <c r="R1009" t="str">
        <f t="shared" si="95"/>
        <v>profit</v>
      </c>
    </row>
    <row r="1010" spans="1:19" ht="15.75" customHeight="1" x14ac:dyDescent="0.4">
      <c r="A1010" s="1" t="s">
        <v>1702</v>
      </c>
      <c r="C1010" s="2">
        <v>45580</v>
      </c>
      <c r="D1010" s="2" t="str">
        <f t="shared" si="93"/>
        <v/>
      </c>
      <c r="E1010" s="2" t="str">
        <f t="shared" si="90"/>
        <v>October</v>
      </c>
      <c r="F1010" s="2" t="str">
        <f t="shared" si="94"/>
        <v>Q4</v>
      </c>
      <c r="G1010" s="13">
        <f t="shared" si="91"/>
        <v>45580</v>
      </c>
      <c r="H1010" s="12" t="s">
        <v>1988</v>
      </c>
      <c r="I1010" s="1" t="s">
        <v>13</v>
      </c>
      <c r="J1010" s="1" t="s">
        <v>25</v>
      </c>
      <c r="K1010" s="1" t="s">
        <v>26</v>
      </c>
      <c r="L1010" s="1" t="s">
        <v>1703</v>
      </c>
      <c r="M1010" s="11" t="s">
        <v>1989</v>
      </c>
      <c r="N1010" s="8">
        <v>9</v>
      </c>
      <c r="O1010" s="6">
        <v>0.31</v>
      </c>
      <c r="P1010" s="10">
        <v>449.51</v>
      </c>
      <c r="Q1010" s="11" t="e">
        <f t="shared" si="92"/>
        <v>#VALUE!</v>
      </c>
      <c r="R1010" t="str">
        <f t="shared" si="95"/>
        <v>profit</v>
      </c>
    </row>
    <row r="1011" spans="1:19" ht="15.75" customHeight="1" x14ac:dyDescent="0.4">
      <c r="A1011" s="1" t="s">
        <v>304</v>
      </c>
      <c r="C1011" s="2">
        <v>45603</v>
      </c>
      <c r="D1011" s="2" t="str">
        <f t="shared" si="93"/>
        <v/>
      </c>
      <c r="E1011" s="2" t="str">
        <f t="shared" si="90"/>
        <v>November</v>
      </c>
      <c r="F1011" s="2" t="str">
        <f t="shared" si="94"/>
        <v>Q4</v>
      </c>
      <c r="G1011" s="13">
        <f t="shared" si="91"/>
        <v>45603</v>
      </c>
      <c r="H1011" s="12" t="s">
        <v>1988</v>
      </c>
      <c r="I1011" s="1" t="s">
        <v>24</v>
      </c>
      <c r="J1011" s="1" t="s">
        <v>14</v>
      </c>
      <c r="K1011" s="1" t="s">
        <v>54</v>
      </c>
      <c r="L1011" s="1" t="s">
        <v>305</v>
      </c>
      <c r="M1011" s="11" t="s">
        <v>1989</v>
      </c>
      <c r="N1011" s="8">
        <v>4</v>
      </c>
      <c r="O1011" s="6">
        <v>0.46</v>
      </c>
      <c r="P1011" s="10">
        <v>482.52</v>
      </c>
      <c r="Q1011" s="11" t="e">
        <f t="shared" si="92"/>
        <v>#VALUE!</v>
      </c>
      <c r="R1011" t="str">
        <f t="shared" si="95"/>
        <v>profit</v>
      </c>
    </row>
    <row r="1013" spans="1:19" ht="15" customHeight="1" x14ac:dyDescent="0.4">
      <c r="A1013" cm="1">
        <f t="array" ref="A1013">SUMPRODUCT(1/COUNTIF(A2:A1011, A2:A1011))</f>
        <v>1000</v>
      </c>
      <c r="B1013" s="5">
        <f>MIN(B2:B1011)</f>
        <v>44899</v>
      </c>
      <c r="H1013" cm="1">
        <f t="array" ref="H1013">SUMPRODUCT(1/COUNTIF(H2:H1011, H2:H1011))</f>
        <v>4.9999999999999885</v>
      </c>
      <c r="I1013" cm="1">
        <f t="array" ref="I1013">SUMPRODUCT(1/COUNTIF(I2:I1011, I2:I1011))</f>
        <v>7.999999999999992</v>
      </c>
      <c r="J1013" cm="1">
        <f t="array" ref="J1013">SUMPRODUCT(1/COUNTIF(J2:J1011,J2:J1011))</f>
        <v>2.9999999999999658</v>
      </c>
      <c r="P1013" s="11">
        <f>MAX( P2:P1011 )</f>
        <v>962.9</v>
      </c>
      <c r="S1013" s="14"/>
    </row>
    <row r="1014" spans="1:19" ht="15" customHeight="1" x14ac:dyDescent="0.4">
      <c r="B1014" s="5">
        <f>MAX(B2:B1011)</f>
        <v>45629</v>
      </c>
      <c r="P1014" s="11">
        <f>MIN( P2:P1011 )</f>
        <v>-25.55</v>
      </c>
      <c r="S1014" s="14"/>
    </row>
  </sheetData>
  <sortState xmlns:xlrd2="http://schemas.microsoft.com/office/spreadsheetml/2017/richdata2" ref="A2:P1011">
    <sortCondition descending="1" sortBy="cellColor" ref="A2:A1011" dxfId="2"/>
  </sortState>
  <conditionalFormatting sqref="A1:A1048576">
    <cfRule type="duplicateValues" dxfId="1" priority="1"/>
    <cfRule type="duplicateValues" dxfId="0" priority="2"/>
  </conditionalFormatting>
  <pageMargins left="0.75" right="0.75" top="1" bottom="1"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topLeftCell="A12" workbookViewId="0">
      <selection activeCell="A25" sqref="A21:XFD25"/>
    </sheetView>
  </sheetViews>
  <sheetFormatPr defaultRowHeight="16" x14ac:dyDescent="0.4"/>
  <cols>
    <col min="1" max="1" width="62.9140625" bestFit="1" customWidth="1"/>
  </cols>
  <sheetData>
    <row r="1" spans="1:1" x14ac:dyDescent="0.4">
      <c r="A1" t="s">
        <v>1971</v>
      </c>
    </row>
    <row r="3" spans="1:1" x14ac:dyDescent="0.4">
      <c r="A3" t="s">
        <v>1972</v>
      </c>
    </row>
    <row r="5" spans="1:1" x14ac:dyDescent="0.4">
      <c r="A5" t="s">
        <v>1973</v>
      </c>
    </row>
    <row r="7" spans="1:1" x14ac:dyDescent="0.4">
      <c r="A7" t="s">
        <v>1974</v>
      </c>
    </row>
    <row r="9" spans="1:1" x14ac:dyDescent="0.4">
      <c r="A9" t="s">
        <v>1975</v>
      </c>
    </row>
    <row r="11" spans="1:1" x14ac:dyDescent="0.4">
      <c r="A11" t="s">
        <v>1976</v>
      </c>
    </row>
    <row r="13" spans="1:1" x14ac:dyDescent="0.4">
      <c r="A13" t="s">
        <v>1977</v>
      </c>
    </row>
    <row r="15" spans="1:1" x14ac:dyDescent="0.4">
      <c r="A15" t="s">
        <v>1978</v>
      </c>
    </row>
    <row r="17" spans="1:1" x14ac:dyDescent="0.4">
      <c r="A17" t="s">
        <v>1979</v>
      </c>
    </row>
    <row r="18" spans="1:1" x14ac:dyDescent="0.4">
      <c r="A18" t="s">
        <v>1980</v>
      </c>
    </row>
    <row r="20" spans="1:1" x14ac:dyDescent="0.4">
      <c r="A20" t="s">
        <v>1981</v>
      </c>
    </row>
    <row r="21" spans="1:1" x14ac:dyDescent="0.4">
      <c r="A21" t="s">
        <v>1982</v>
      </c>
    </row>
    <row r="23" spans="1:1" x14ac:dyDescent="0.4">
      <c r="A23" t="s">
        <v>1983</v>
      </c>
    </row>
    <row r="25" spans="1:1" x14ac:dyDescent="0.4">
      <c r="A25" t="s">
        <v>1984</v>
      </c>
    </row>
    <row r="27" spans="1:1" x14ac:dyDescent="0.4">
      <c r="A27" t="s">
        <v>1985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Sheet5</vt:lpstr>
      <vt:lpstr>Dashboard</vt:lpstr>
      <vt:lpstr>Sheet2</vt:lpstr>
      <vt:lpstr>GlobalMart_Sales_Data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Stella Kitur</dc:creator>
  <cp:lastModifiedBy>eugene chiiraq</cp:lastModifiedBy>
  <dcterms:created xsi:type="dcterms:W3CDTF">2025-01-16T11:55:48Z</dcterms:created>
  <dcterms:modified xsi:type="dcterms:W3CDTF">2026-04-15T08:00:59Z</dcterms:modified>
</cp:coreProperties>
</file>